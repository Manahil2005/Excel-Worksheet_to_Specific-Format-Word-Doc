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0e2af755af4594/Desktop/Excel-Worksheet_to_Specific-Format-Word-Doc/"/>
    </mc:Choice>
  </mc:AlternateContent>
  <xr:revisionPtr revIDLastSave="1" documentId="13_ncr:1_{3F1F2DB2-382F-46AC-9B94-73DF212A78A6}" xr6:coauthVersionLast="47" xr6:coauthVersionMax="47" xr10:uidLastSave="{D403A5F3-5D99-415D-A360-107A92823A82}"/>
  <bookViews>
    <workbookView xWindow="5832" yWindow="156" windowWidth="13992" windowHeight="8880" firstSheet="6" activeTab="7" xr2:uid="{942FB08A-4C51-476B-8272-2134BED72A86}"/>
  </bookViews>
  <sheets>
    <sheet name="Appendix-A" sheetId="11" r:id="rId1"/>
    <sheet name="CuPrCrPrices" sheetId="10" r:id="rId2"/>
    <sheet name="Appendix-B" sheetId="9" r:id="rId3"/>
    <sheet name="Annexure-V" sheetId="8" r:id="rId4"/>
    <sheet name="Page 1" sheetId="7" r:id="rId5"/>
    <sheet name="Page 2" sheetId="6" r:id="rId6"/>
    <sheet name="MinMaxCities" sheetId="5" r:id="rId7"/>
    <sheet name="Impact Combined" sheetId="4" r:id="rId8"/>
    <sheet name="Impact Lowest" sheetId="3" r:id="rId9"/>
    <sheet name="Sorted - MoM and YoY" sheetId="2" r:id="rId10"/>
    <sheet name="Sheet1" sheetId="1" r:id="rId11"/>
  </sheets>
  <definedNames>
    <definedName name="_xlnm.Print_Area" localSheetId="2">'Appendix-B'!$A$1:$Y$35</definedName>
    <definedName name="_xlnm.Print_Titles" localSheetId="7">'Impact Combined'!$A:$C,'Impact Combined'!$1:$3</definedName>
    <definedName name="_xlnm.Print_Titles" localSheetId="8">'Impact Lowest'!$A:$C,'Impact Lowest'!$1:$3</definedName>
    <definedName name="_xlnm.Print_Titles" localSheetId="6">MinMaxCities!$1:$3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5" i="9" l="1"/>
  <c r="X35" i="9" s="1"/>
  <c r="V34" i="9"/>
  <c r="X34" i="9" s="1"/>
  <c r="M64" i="6"/>
  <c r="L64" i="6"/>
  <c r="K64" i="6"/>
  <c r="J64" i="6"/>
  <c r="M62" i="6"/>
  <c r="L62" i="6"/>
  <c r="K62" i="6"/>
  <c r="J62" i="6"/>
  <c r="M39" i="6"/>
  <c r="L39" i="6"/>
  <c r="K39" i="6"/>
  <c r="J39" i="6"/>
  <c r="M29" i="6"/>
  <c r="L29" i="6"/>
  <c r="K29" i="6"/>
  <c r="J29" i="6"/>
  <c r="E49" i="2"/>
  <c r="D49" i="2"/>
  <c r="B47" i="2"/>
  <c r="A47" i="2"/>
  <c r="E48" i="2"/>
  <c r="D48" i="2"/>
  <c r="B51" i="2"/>
  <c r="A51" i="2"/>
  <c r="E46" i="2"/>
  <c r="D46" i="2"/>
  <c r="B49" i="2"/>
  <c r="A49" i="2"/>
  <c r="E18" i="2"/>
  <c r="D18" i="2"/>
  <c r="B30" i="2"/>
  <c r="A30" i="2"/>
  <c r="E36" i="2"/>
  <c r="D36" i="2"/>
  <c r="B40" i="2"/>
  <c r="A40" i="2"/>
  <c r="E22" i="2"/>
  <c r="D22" i="2"/>
  <c r="B29" i="2"/>
  <c r="A29" i="2"/>
  <c r="E41" i="2"/>
  <c r="D41" i="2"/>
  <c r="B28" i="2"/>
  <c r="A28" i="2"/>
  <c r="E16" i="2"/>
  <c r="D16" i="2"/>
  <c r="B27" i="2"/>
  <c r="A27" i="2"/>
  <c r="E47" i="2"/>
  <c r="D47" i="2"/>
  <c r="B26" i="2"/>
  <c r="A26" i="2"/>
  <c r="E34" i="2"/>
  <c r="D34" i="2"/>
  <c r="B25" i="2"/>
  <c r="A25" i="2"/>
  <c r="E45" i="2"/>
  <c r="D45" i="2"/>
  <c r="B24" i="2"/>
  <c r="A24" i="2"/>
  <c r="E15" i="2"/>
  <c r="D15" i="2"/>
  <c r="B23" i="2"/>
  <c r="A23" i="2"/>
  <c r="E28" i="2"/>
  <c r="D28" i="2"/>
  <c r="B22" i="2"/>
  <c r="A22" i="2"/>
  <c r="E20" i="2"/>
  <c r="D20" i="2"/>
  <c r="B21" i="2"/>
  <c r="A21" i="2"/>
  <c r="E38" i="2"/>
  <c r="D38" i="2"/>
  <c r="B20" i="2"/>
  <c r="A20" i="2"/>
  <c r="E26" i="2"/>
  <c r="D26" i="2"/>
  <c r="B19" i="2"/>
  <c r="A19" i="2"/>
  <c r="E21" i="2"/>
  <c r="D21" i="2"/>
  <c r="B18" i="2"/>
  <c r="A18" i="2"/>
  <c r="E30" i="2"/>
  <c r="D30" i="2"/>
  <c r="B35" i="2"/>
  <c r="A35" i="2"/>
  <c r="E27" i="2"/>
  <c r="D27" i="2"/>
  <c r="B46" i="2"/>
  <c r="A46" i="2"/>
  <c r="E23" i="2"/>
  <c r="D23" i="2"/>
  <c r="B42" i="2"/>
  <c r="A42" i="2"/>
  <c r="E19" i="2"/>
  <c r="D19" i="2"/>
  <c r="B45" i="2"/>
  <c r="A45" i="2"/>
  <c r="E12" i="2"/>
  <c r="D12" i="2"/>
  <c r="B43" i="2"/>
  <c r="A43" i="2"/>
  <c r="E43" i="2"/>
  <c r="D43" i="2"/>
  <c r="B17" i="2"/>
  <c r="A17" i="2"/>
  <c r="E6" i="2"/>
  <c r="D6" i="2"/>
  <c r="B16" i="2"/>
  <c r="A16" i="2"/>
  <c r="E11" i="2"/>
  <c r="D11" i="2"/>
  <c r="B31" i="2"/>
  <c r="A31" i="2"/>
  <c r="E5" i="2"/>
  <c r="D5" i="2"/>
  <c r="B9" i="2"/>
  <c r="A9" i="2"/>
  <c r="E53" i="2"/>
  <c r="D53" i="2"/>
  <c r="B52" i="2"/>
  <c r="A52" i="2"/>
  <c r="E52" i="2"/>
  <c r="D52" i="2"/>
  <c r="B33" i="2"/>
  <c r="A33" i="2"/>
  <c r="E3" i="2"/>
  <c r="D3" i="2"/>
  <c r="B48" i="2"/>
  <c r="A48" i="2"/>
  <c r="E4" i="2"/>
  <c r="D4" i="2"/>
  <c r="B10" i="2"/>
  <c r="A10" i="2"/>
  <c r="E13" i="2"/>
  <c r="D13" i="2"/>
  <c r="B6" i="2"/>
  <c r="A6" i="2"/>
  <c r="E10" i="2"/>
  <c r="D10" i="2"/>
  <c r="B5" i="2"/>
  <c r="A5" i="2"/>
  <c r="E8" i="2"/>
  <c r="D8" i="2"/>
  <c r="B8" i="2"/>
  <c r="A8" i="2"/>
  <c r="E40" i="2"/>
  <c r="D40" i="2"/>
  <c r="B4" i="2"/>
  <c r="A4" i="2"/>
  <c r="E33" i="2"/>
  <c r="D33" i="2"/>
  <c r="B41" i="2"/>
  <c r="A41" i="2"/>
  <c r="E29" i="2"/>
  <c r="D29" i="2"/>
  <c r="B38" i="2"/>
  <c r="A38" i="2"/>
  <c r="E32" i="2"/>
  <c r="D32" i="2"/>
  <c r="B32" i="2"/>
  <c r="A32" i="2"/>
  <c r="E25" i="2"/>
  <c r="D25" i="2"/>
  <c r="B44" i="2"/>
  <c r="A44" i="2"/>
  <c r="E9" i="2"/>
  <c r="D9" i="2"/>
  <c r="B50" i="2"/>
  <c r="A50" i="2"/>
  <c r="E31" i="2"/>
  <c r="D31" i="2"/>
  <c r="B34" i="2"/>
  <c r="A34" i="2"/>
  <c r="E35" i="2"/>
  <c r="D35" i="2"/>
  <c r="B37" i="2"/>
  <c r="A37" i="2"/>
  <c r="E37" i="2"/>
  <c r="D37" i="2"/>
  <c r="B36" i="2"/>
  <c r="A36" i="2"/>
  <c r="E7" i="2"/>
  <c r="D7" i="2"/>
  <c r="B3" i="2"/>
  <c r="A3" i="2"/>
  <c r="E44" i="2"/>
  <c r="D44" i="2"/>
  <c r="B15" i="2"/>
  <c r="A15" i="2"/>
  <c r="E42" i="2"/>
  <c r="D42" i="2"/>
  <c r="B14" i="2"/>
  <c r="A14" i="2"/>
  <c r="E39" i="2"/>
  <c r="D39" i="2"/>
  <c r="B13" i="2"/>
  <c r="A13" i="2"/>
  <c r="E17" i="2"/>
  <c r="D17" i="2"/>
  <c r="B7" i="2"/>
  <c r="A7" i="2"/>
  <c r="E24" i="2"/>
  <c r="D24" i="2"/>
  <c r="B12" i="2"/>
  <c r="A12" i="2"/>
  <c r="E51" i="2"/>
  <c r="D51" i="2"/>
  <c r="B39" i="2"/>
  <c r="A39" i="2"/>
  <c r="E14" i="2"/>
  <c r="D14" i="2"/>
  <c r="B11" i="2"/>
  <c r="A11" i="2"/>
  <c r="E50" i="2"/>
  <c r="D50" i="2"/>
  <c r="B53" i="2"/>
  <c r="A53" i="2"/>
  <c r="S8" i="3"/>
  <c r="S7" i="3"/>
  <c r="S6" i="3"/>
  <c r="S5" i="3"/>
  <c r="S4" i="3"/>
  <c r="R8" i="3"/>
  <c r="R7" i="3"/>
  <c r="R6" i="3"/>
  <c r="R5" i="3"/>
  <c r="R4" i="3"/>
  <c r="Q8" i="3"/>
  <c r="Q7" i="3"/>
  <c r="Q6" i="3"/>
  <c r="Q5" i="3"/>
  <c r="Q4" i="3"/>
  <c r="J58" i="3"/>
  <c r="J57" i="3"/>
  <c r="N55" i="3"/>
  <c r="M55" i="3"/>
  <c r="L55" i="3"/>
  <c r="K55" i="3"/>
  <c r="J55" i="3"/>
  <c r="F55" i="3"/>
  <c r="L54" i="3"/>
  <c r="K54" i="3"/>
  <c r="J54" i="3"/>
  <c r="N54" i="3" s="1"/>
  <c r="L53" i="3"/>
  <c r="K53" i="3"/>
  <c r="J53" i="3"/>
  <c r="N53" i="3" s="1"/>
  <c r="L52" i="3"/>
  <c r="K52" i="3"/>
  <c r="J52" i="3"/>
  <c r="L51" i="3"/>
  <c r="K51" i="3"/>
  <c r="J51" i="3"/>
  <c r="N51" i="3" s="1"/>
  <c r="L50" i="3"/>
  <c r="K50" i="3"/>
  <c r="J50" i="3"/>
  <c r="N50" i="3" s="1"/>
  <c r="L49" i="3"/>
  <c r="K49" i="3"/>
  <c r="J49" i="3"/>
  <c r="N49" i="3" s="1"/>
  <c r="L48" i="3"/>
  <c r="K48" i="3"/>
  <c r="J48" i="3"/>
  <c r="N48" i="3" s="1"/>
  <c r="L47" i="3"/>
  <c r="K47" i="3"/>
  <c r="J47" i="3"/>
  <c r="N47" i="3" s="1"/>
  <c r="L46" i="3"/>
  <c r="K46" i="3"/>
  <c r="J46" i="3"/>
  <c r="N46" i="3" s="1"/>
  <c r="L45" i="3"/>
  <c r="K45" i="3"/>
  <c r="J45" i="3"/>
  <c r="N45" i="3" s="1"/>
  <c r="L44" i="3"/>
  <c r="K44" i="3"/>
  <c r="J44" i="3"/>
  <c r="N44" i="3" s="1"/>
  <c r="L43" i="3"/>
  <c r="K43" i="3"/>
  <c r="J43" i="3"/>
  <c r="N43" i="3" s="1"/>
  <c r="L42" i="3"/>
  <c r="K42" i="3"/>
  <c r="J42" i="3"/>
  <c r="N42" i="3" s="1"/>
  <c r="L41" i="3"/>
  <c r="K41" i="3"/>
  <c r="J41" i="3"/>
  <c r="N41" i="3" s="1"/>
  <c r="L40" i="3"/>
  <c r="K40" i="3"/>
  <c r="J40" i="3"/>
  <c r="N40" i="3" s="1"/>
  <c r="L39" i="3"/>
  <c r="K39" i="3"/>
  <c r="J39" i="3"/>
  <c r="N39" i="3" s="1"/>
  <c r="L38" i="3"/>
  <c r="K38" i="3"/>
  <c r="J38" i="3"/>
  <c r="N38" i="3" s="1"/>
  <c r="L37" i="3"/>
  <c r="K37" i="3"/>
  <c r="J37" i="3"/>
  <c r="N37" i="3" s="1"/>
  <c r="L36" i="3"/>
  <c r="K36" i="3"/>
  <c r="J36" i="3"/>
  <c r="N36" i="3" s="1"/>
  <c r="L35" i="3"/>
  <c r="K35" i="3"/>
  <c r="J35" i="3"/>
  <c r="N35" i="3" s="1"/>
  <c r="L34" i="3"/>
  <c r="K34" i="3"/>
  <c r="J34" i="3"/>
  <c r="N34" i="3" s="1"/>
  <c r="L33" i="3"/>
  <c r="K33" i="3"/>
  <c r="J33" i="3"/>
  <c r="N33" i="3" s="1"/>
  <c r="L32" i="3"/>
  <c r="K32" i="3"/>
  <c r="J32" i="3"/>
  <c r="N32" i="3" s="1"/>
  <c r="L31" i="3"/>
  <c r="K31" i="3"/>
  <c r="J31" i="3"/>
  <c r="N31" i="3" s="1"/>
  <c r="L30" i="3"/>
  <c r="K30" i="3"/>
  <c r="J30" i="3"/>
  <c r="N30" i="3" s="1"/>
  <c r="L29" i="3"/>
  <c r="K29" i="3"/>
  <c r="J29" i="3"/>
  <c r="N29" i="3" s="1"/>
  <c r="L28" i="3"/>
  <c r="K28" i="3"/>
  <c r="J28" i="3"/>
  <c r="L27" i="3"/>
  <c r="K27" i="3"/>
  <c r="J27" i="3"/>
  <c r="M27" i="3" s="1"/>
  <c r="L26" i="3"/>
  <c r="K26" i="3"/>
  <c r="J26" i="3"/>
  <c r="L25" i="3"/>
  <c r="K25" i="3"/>
  <c r="J25" i="3"/>
  <c r="L24" i="3"/>
  <c r="K24" i="3"/>
  <c r="M24" i="3" s="1"/>
  <c r="J24" i="3"/>
  <c r="N24" i="3" s="1"/>
  <c r="L23" i="3"/>
  <c r="K23" i="3"/>
  <c r="J23" i="3"/>
  <c r="N23" i="3" s="1"/>
  <c r="L22" i="3"/>
  <c r="K22" i="3"/>
  <c r="J22" i="3"/>
  <c r="N22" i="3" s="1"/>
  <c r="L21" i="3"/>
  <c r="K21" i="3"/>
  <c r="J21" i="3"/>
  <c r="N21" i="3" s="1"/>
  <c r="L20" i="3"/>
  <c r="K20" i="3"/>
  <c r="J20" i="3"/>
  <c r="N20" i="3" s="1"/>
  <c r="L19" i="3"/>
  <c r="K19" i="3"/>
  <c r="J19" i="3"/>
  <c r="N19" i="3" s="1"/>
  <c r="L18" i="3"/>
  <c r="K18" i="3"/>
  <c r="J18" i="3"/>
  <c r="N18" i="3" s="1"/>
  <c r="L17" i="3"/>
  <c r="K17" i="3"/>
  <c r="J17" i="3"/>
  <c r="L16" i="3"/>
  <c r="K16" i="3"/>
  <c r="J16" i="3"/>
  <c r="L15" i="3"/>
  <c r="K15" i="3"/>
  <c r="J15" i="3"/>
  <c r="N15" i="3" s="1"/>
  <c r="L14" i="3"/>
  <c r="K14" i="3"/>
  <c r="J14" i="3"/>
  <c r="N14" i="3" s="1"/>
  <c r="L13" i="3"/>
  <c r="K13" i="3"/>
  <c r="J13" i="3"/>
  <c r="N13" i="3" s="1"/>
  <c r="L12" i="3"/>
  <c r="K12" i="3"/>
  <c r="J12" i="3"/>
  <c r="N12" i="3" s="1"/>
  <c r="L11" i="3"/>
  <c r="K11" i="3"/>
  <c r="J11" i="3"/>
  <c r="N11" i="3" s="1"/>
  <c r="L10" i="3"/>
  <c r="K10" i="3"/>
  <c r="J10" i="3"/>
  <c r="N10" i="3" s="1"/>
  <c r="L9" i="3"/>
  <c r="K9" i="3"/>
  <c r="J9" i="3"/>
  <c r="N9" i="3" s="1"/>
  <c r="L8" i="3"/>
  <c r="K8" i="3"/>
  <c r="J8" i="3"/>
  <c r="N8" i="3" s="1"/>
  <c r="L7" i="3"/>
  <c r="K7" i="3"/>
  <c r="J7" i="3"/>
  <c r="N7" i="3" s="1"/>
  <c r="L6" i="3"/>
  <c r="K6" i="3"/>
  <c r="J6" i="3"/>
  <c r="N6" i="3" s="1"/>
  <c r="L5" i="3"/>
  <c r="K5" i="3"/>
  <c r="J5" i="3"/>
  <c r="N5" i="3" s="1"/>
  <c r="L4" i="3"/>
  <c r="K4" i="3"/>
  <c r="J4" i="3"/>
  <c r="N4" i="3" s="1"/>
  <c r="S8" i="4"/>
  <c r="S7" i="4"/>
  <c r="S6" i="4"/>
  <c r="S5" i="4"/>
  <c r="S4" i="4"/>
  <c r="Q8" i="4"/>
  <c r="Q7" i="4"/>
  <c r="Q6" i="4"/>
  <c r="Q5" i="4"/>
  <c r="Q4" i="4"/>
  <c r="J58" i="4"/>
  <c r="N55" i="4"/>
  <c r="L55" i="4"/>
  <c r="J55" i="4"/>
  <c r="F55" i="4"/>
  <c r="L54" i="4"/>
  <c r="K54" i="4"/>
  <c r="J54" i="4"/>
  <c r="L53" i="4"/>
  <c r="K53" i="4"/>
  <c r="J53" i="4"/>
  <c r="N53" i="4" s="1"/>
  <c r="L52" i="4"/>
  <c r="K52" i="4"/>
  <c r="J52" i="4"/>
  <c r="N52" i="4" s="1"/>
  <c r="L51" i="4"/>
  <c r="K51" i="4"/>
  <c r="J51" i="4"/>
  <c r="N51" i="4" s="1"/>
  <c r="L50" i="4"/>
  <c r="K50" i="4"/>
  <c r="J50" i="4"/>
  <c r="N50" i="4" s="1"/>
  <c r="L49" i="4"/>
  <c r="K49" i="4"/>
  <c r="J49" i="4"/>
  <c r="N49" i="4" s="1"/>
  <c r="L48" i="4"/>
  <c r="K48" i="4"/>
  <c r="J48" i="4"/>
  <c r="N48" i="4" s="1"/>
  <c r="L47" i="4"/>
  <c r="K47" i="4"/>
  <c r="J47" i="4"/>
  <c r="N47" i="4" s="1"/>
  <c r="L46" i="4"/>
  <c r="K46" i="4"/>
  <c r="J46" i="4"/>
  <c r="N46" i="4" s="1"/>
  <c r="L45" i="4"/>
  <c r="K45" i="4"/>
  <c r="J45" i="4"/>
  <c r="N45" i="4" s="1"/>
  <c r="L44" i="4"/>
  <c r="K44" i="4"/>
  <c r="J44" i="4"/>
  <c r="N44" i="4" s="1"/>
  <c r="L43" i="4"/>
  <c r="K43" i="4"/>
  <c r="J43" i="4"/>
  <c r="N43" i="4" s="1"/>
  <c r="L42" i="4"/>
  <c r="K42" i="4"/>
  <c r="J42" i="4"/>
  <c r="N42" i="4" s="1"/>
  <c r="L41" i="4"/>
  <c r="K41" i="4"/>
  <c r="J41" i="4"/>
  <c r="N41" i="4" s="1"/>
  <c r="L40" i="4"/>
  <c r="K40" i="4"/>
  <c r="J40" i="4"/>
  <c r="N40" i="4" s="1"/>
  <c r="L39" i="4"/>
  <c r="K39" i="4"/>
  <c r="J39" i="4"/>
  <c r="N39" i="4" s="1"/>
  <c r="L38" i="4"/>
  <c r="K38" i="4"/>
  <c r="J38" i="4"/>
  <c r="N38" i="4" s="1"/>
  <c r="L37" i="4"/>
  <c r="K37" i="4"/>
  <c r="J37" i="4"/>
  <c r="N37" i="4" s="1"/>
  <c r="L36" i="4"/>
  <c r="K36" i="4"/>
  <c r="J36" i="4"/>
  <c r="N36" i="4" s="1"/>
  <c r="L35" i="4"/>
  <c r="K35" i="4"/>
  <c r="J35" i="4"/>
  <c r="N35" i="4" s="1"/>
  <c r="L34" i="4"/>
  <c r="K34" i="4"/>
  <c r="J34" i="4"/>
  <c r="N34" i="4" s="1"/>
  <c r="L33" i="4"/>
  <c r="K33" i="4"/>
  <c r="J33" i="4"/>
  <c r="N33" i="4" s="1"/>
  <c r="L32" i="4"/>
  <c r="K32" i="4"/>
  <c r="J32" i="4"/>
  <c r="N32" i="4" s="1"/>
  <c r="L31" i="4"/>
  <c r="K31" i="4"/>
  <c r="J31" i="4"/>
  <c r="N31" i="4" s="1"/>
  <c r="L30" i="4"/>
  <c r="K30" i="4"/>
  <c r="J30" i="4"/>
  <c r="N30" i="4" s="1"/>
  <c r="L29" i="4"/>
  <c r="K29" i="4"/>
  <c r="J29" i="4"/>
  <c r="N29" i="4" s="1"/>
  <c r="L28" i="4"/>
  <c r="K28" i="4"/>
  <c r="J28" i="4"/>
  <c r="N28" i="4" s="1"/>
  <c r="L27" i="4"/>
  <c r="K27" i="4"/>
  <c r="J27" i="4"/>
  <c r="N27" i="4" s="1"/>
  <c r="L26" i="4"/>
  <c r="K26" i="4"/>
  <c r="J26" i="4"/>
  <c r="N26" i="4" s="1"/>
  <c r="L25" i="4"/>
  <c r="K25" i="4"/>
  <c r="J25" i="4"/>
  <c r="N25" i="4" s="1"/>
  <c r="L24" i="4"/>
  <c r="K24" i="4"/>
  <c r="J24" i="4"/>
  <c r="N24" i="4" s="1"/>
  <c r="L23" i="4"/>
  <c r="K23" i="4"/>
  <c r="J23" i="4"/>
  <c r="N23" i="4" s="1"/>
  <c r="L22" i="4"/>
  <c r="K22" i="4"/>
  <c r="J22" i="4"/>
  <c r="N22" i="4" s="1"/>
  <c r="L21" i="4"/>
  <c r="K21" i="4"/>
  <c r="J21" i="4"/>
  <c r="N21" i="4" s="1"/>
  <c r="L20" i="4"/>
  <c r="K20" i="4"/>
  <c r="J20" i="4"/>
  <c r="N20" i="4" s="1"/>
  <c r="L19" i="4"/>
  <c r="K19" i="4"/>
  <c r="J19" i="4"/>
  <c r="N19" i="4" s="1"/>
  <c r="L18" i="4"/>
  <c r="K18" i="4"/>
  <c r="J18" i="4"/>
  <c r="N18" i="4" s="1"/>
  <c r="L17" i="4"/>
  <c r="K17" i="4"/>
  <c r="J17" i="4"/>
  <c r="N17" i="4" s="1"/>
  <c r="L16" i="4"/>
  <c r="K16" i="4"/>
  <c r="J16" i="4"/>
  <c r="N16" i="4" s="1"/>
  <c r="L15" i="4"/>
  <c r="K15" i="4"/>
  <c r="J15" i="4"/>
  <c r="N15" i="4" s="1"/>
  <c r="L14" i="4"/>
  <c r="K14" i="4"/>
  <c r="J14" i="4"/>
  <c r="N14" i="4" s="1"/>
  <c r="L13" i="4"/>
  <c r="K13" i="4"/>
  <c r="J13" i="4"/>
  <c r="N13" i="4" s="1"/>
  <c r="L12" i="4"/>
  <c r="K12" i="4"/>
  <c r="J12" i="4"/>
  <c r="N12" i="4" s="1"/>
  <c r="L11" i="4"/>
  <c r="K11" i="4"/>
  <c r="J11" i="4"/>
  <c r="N11" i="4" s="1"/>
  <c r="L10" i="4"/>
  <c r="K10" i="4"/>
  <c r="J10" i="4"/>
  <c r="N10" i="4" s="1"/>
  <c r="L9" i="4"/>
  <c r="K9" i="4"/>
  <c r="J9" i="4"/>
  <c r="N9" i="4" s="1"/>
  <c r="L8" i="4"/>
  <c r="K8" i="4"/>
  <c r="J8" i="4"/>
  <c r="N8" i="4" s="1"/>
  <c r="L7" i="4"/>
  <c r="K7" i="4"/>
  <c r="J7" i="4"/>
  <c r="N7" i="4" s="1"/>
  <c r="L6" i="4"/>
  <c r="K6" i="4"/>
  <c r="J6" i="4"/>
  <c r="N6" i="4" s="1"/>
  <c r="L5" i="4"/>
  <c r="K5" i="4"/>
  <c r="J5" i="4"/>
  <c r="N5" i="4" s="1"/>
  <c r="L4" i="4"/>
  <c r="K4" i="4"/>
  <c r="K55" i="4" s="1"/>
  <c r="J57" i="4" s="1"/>
  <c r="J4" i="4"/>
  <c r="E34" i="7"/>
  <c r="H34" i="7"/>
  <c r="E35" i="7"/>
  <c r="H35" i="7"/>
  <c r="E36" i="7"/>
  <c r="H36" i="7"/>
  <c r="E37" i="7"/>
  <c r="H37" i="7"/>
  <c r="E38" i="7"/>
  <c r="H38" i="7"/>
  <c r="E39" i="7"/>
  <c r="H39" i="7"/>
  <c r="E40" i="7"/>
  <c r="H40" i="7"/>
  <c r="E41" i="7"/>
  <c r="H41" i="7"/>
  <c r="E42" i="7"/>
  <c r="H42" i="7"/>
  <c r="E43" i="7"/>
  <c r="H43" i="7"/>
  <c r="D34" i="7"/>
  <c r="G34" i="7"/>
  <c r="D35" i="7"/>
  <c r="G35" i="7"/>
  <c r="D36" i="7"/>
  <c r="G36" i="7"/>
  <c r="D37" i="7"/>
  <c r="G37" i="7"/>
  <c r="D38" i="7"/>
  <c r="G38" i="7"/>
  <c r="D39" i="7"/>
  <c r="G39" i="7"/>
  <c r="D40" i="7"/>
  <c r="G40" i="7"/>
  <c r="D41" i="7"/>
  <c r="G41" i="7"/>
  <c r="D42" i="7"/>
  <c r="G42" i="7"/>
  <c r="D43" i="7"/>
  <c r="G43" i="7"/>
  <c r="H25" i="7"/>
  <c r="G25" i="7"/>
  <c r="H24" i="7"/>
  <c r="G24" i="7"/>
  <c r="H23" i="7"/>
  <c r="G23" i="7"/>
  <c r="H22" i="7"/>
  <c r="G22" i="7"/>
  <c r="H21" i="7"/>
  <c r="G21" i="7"/>
  <c r="H26" i="7"/>
  <c r="G26" i="7"/>
  <c r="F54" i="8"/>
  <c r="E54" i="8"/>
  <c r="F53" i="8"/>
  <c r="E53" i="8"/>
  <c r="F52" i="8"/>
  <c r="E52" i="8"/>
  <c r="F51" i="8"/>
  <c r="E51" i="8"/>
  <c r="F50" i="8"/>
  <c r="E50" i="8"/>
  <c r="F49" i="8"/>
  <c r="E49" i="8"/>
  <c r="F47" i="8"/>
  <c r="E47" i="8"/>
  <c r="F46" i="8"/>
  <c r="E46" i="8"/>
  <c r="F45" i="8"/>
  <c r="E45" i="8"/>
  <c r="F44" i="8"/>
  <c r="E44" i="8"/>
  <c r="F43" i="8"/>
  <c r="E43" i="8"/>
  <c r="F42" i="8"/>
  <c r="E42" i="8"/>
  <c r="F40" i="8"/>
  <c r="E40" i="8"/>
  <c r="F39" i="8"/>
  <c r="E39" i="8"/>
  <c r="F38" i="8"/>
  <c r="E38" i="8"/>
  <c r="F37" i="8"/>
  <c r="E37" i="8"/>
  <c r="F36" i="8"/>
  <c r="E36" i="8"/>
  <c r="F35" i="8"/>
  <c r="E35" i="8"/>
  <c r="F33" i="8"/>
  <c r="E33" i="8"/>
  <c r="F32" i="8"/>
  <c r="E32" i="8"/>
  <c r="F31" i="8"/>
  <c r="E31" i="8"/>
  <c r="F30" i="8"/>
  <c r="E30" i="8"/>
  <c r="F29" i="8"/>
  <c r="E29" i="8"/>
  <c r="F28" i="8"/>
  <c r="E28" i="8"/>
  <c r="F26" i="8"/>
  <c r="E26" i="8"/>
  <c r="F25" i="8"/>
  <c r="E25" i="8"/>
  <c r="F24" i="8"/>
  <c r="E24" i="8"/>
  <c r="F23" i="8"/>
  <c r="E23" i="8"/>
  <c r="F22" i="8"/>
  <c r="E22" i="8"/>
  <c r="F21" i="8"/>
  <c r="E21" i="8"/>
  <c r="F19" i="8"/>
  <c r="E19" i="8"/>
  <c r="F18" i="8"/>
  <c r="E18" i="8"/>
  <c r="F17" i="8"/>
  <c r="E17" i="8"/>
  <c r="F16" i="8"/>
  <c r="E16" i="8"/>
  <c r="F15" i="8"/>
  <c r="E15" i="8"/>
  <c r="F14" i="8"/>
  <c r="E14" i="8"/>
  <c r="F12" i="8"/>
  <c r="E12" i="8"/>
  <c r="F11" i="8"/>
  <c r="E11" i="8"/>
  <c r="F10" i="8"/>
  <c r="E10" i="8"/>
  <c r="F9" i="8"/>
  <c r="E9" i="8"/>
  <c r="F8" i="8"/>
  <c r="E8" i="8"/>
  <c r="F7" i="8"/>
  <c r="E7" i="8"/>
  <c r="Y31" i="9"/>
  <c r="U31" i="9"/>
  <c r="X31" i="9" s="1"/>
  <c r="Y30" i="9"/>
  <c r="U30" i="9"/>
  <c r="X30" i="9" s="1"/>
  <c r="U29" i="9"/>
  <c r="Y29" i="9" s="1"/>
  <c r="U28" i="9"/>
  <c r="Y28" i="9" s="1"/>
  <c r="Y27" i="9"/>
  <c r="U27" i="9"/>
  <c r="X27" i="9" s="1"/>
  <c r="W38" i="9"/>
  <c r="X22" i="9" s="1"/>
  <c r="M38" i="9"/>
  <c r="N22" i="9" s="1"/>
  <c r="W22" i="9"/>
  <c r="M22" i="9"/>
  <c r="Y17" i="9"/>
  <c r="X17" i="9"/>
  <c r="U17" i="9"/>
  <c r="W12" i="9"/>
  <c r="V12" i="9"/>
  <c r="X12" i="9" s="1"/>
  <c r="U12" i="9"/>
  <c r="Y12" i="9" s="1"/>
  <c r="W11" i="9"/>
  <c r="V11" i="9"/>
  <c r="U11" i="9"/>
  <c r="W10" i="9"/>
  <c r="V10" i="9"/>
  <c r="U10" i="9"/>
  <c r="X10" i="9" s="1"/>
  <c r="W9" i="9"/>
  <c r="V9" i="9"/>
  <c r="U9" i="9"/>
  <c r="W8" i="9"/>
  <c r="V8" i="9"/>
  <c r="X8" i="9" s="1"/>
  <c r="U8" i="9"/>
  <c r="Y8" i="9" s="1"/>
  <c r="W7" i="9"/>
  <c r="V7" i="9"/>
  <c r="U7" i="9"/>
  <c r="W6" i="9"/>
  <c r="V6" i="9"/>
  <c r="U6" i="9"/>
  <c r="X6" i="9" s="1"/>
  <c r="W5" i="9"/>
  <c r="V5" i="9"/>
  <c r="U5" i="9"/>
  <c r="V173" i="11"/>
  <c r="W173" i="11"/>
  <c r="S173" i="11"/>
  <c r="R173" i="11"/>
  <c r="V172" i="11"/>
  <c r="W172" i="11"/>
  <c r="S172" i="11"/>
  <c r="R172" i="11"/>
  <c r="V171" i="11"/>
  <c r="W171" i="11"/>
  <c r="S171" i="11"/>
  <c r="R171" i="11"/>
  <c r="V170" i="11"/>
  <c r="W170" i="11"/>
  <c r="S170" i="11"/>
  <c r="R170" i="11"/>
  <c r="V169" i="11"/>
  <c r="W169" i="11"/>
  <c r="S169" i="11"/>
  <c r="R169" i="11"/>
  <c r="V168" i="11"/>
  <c r="W168" i="11"/>
  <c r="S168" i="11"/>
  <c r="R168" i="11"/>
  <c r="V167" i="11"/>
  <c r="W167" i="11"/>
  <c r="S167" i="11"/>
  <c r="R167" i="11"/>
  <c r="V166" i="11"/>
  <c r="W166" i="11"/>
  <c r="S166" i="11"/>
  <c r="R166" i="11"/>
  <c r="V165" i="11"/>
  <c r="W165" i="11"/>
  <c r="S165" i="11"/>
  <c r="R165" i="11"/>
  <c r="V164" i="11"/>
  <c r="W164" i="11"/>
  <c r="S164" i="11"/>
  <c r="R164" i="11"/>
  <c r="V163" i="11"/>
  <c r="W163" i="11"/>
  <c r="S163" i="11"/>
  <c r="R163" i="11"/>
  <c r="V162" i="11"/>
  <c r="W162" i="11"/>
  <c r="S162" i="11"/>
  <c r="R162" i="11"/>
  <c r="V161" i="11"/>
  <c r="W161" i="11"/>
  <c r="S161" i="11"/>
  <c r="R161" i="11"/>
  <c r="V160" i="11"/>
  <c r="W160" i="11"/>
  <c r="S160" i="11"/>
  <c r="R160" i="11"/>
  <c r="V159" i="11"/>
  <c r="W159" i="11"/>
  <c r="S159" i="11"/>
  <c r="R159" i="11"/>
  <c r="V158" i="11"/>
  <c r="W158" i="11"/>
  <c r="S158" i="11"/>
  <c r="R158" i="11"/>
  <c r="V157" i="11"/>
  <c r="W157" i="11"/>
  <c r="S157" i="11"/>
  <c r="R157" i="11"/>
  <c r="V156" i="11"/>
  <c r="W156" i="11"/>
  <c r="S156" i="11"/>
  <c r="R156" i="11"/>
  <c r="V155" i="11"/>
  <c r="W155" i="11"/>
  <c r="S155" i="11"/>
  <c r="R155" i="11"/>
  <c r="V154" i="11"/>
  <c r="W154" i="11"/>
  <c r="S154" i="11"/>
  <c r="R154" i="11"/>
  <c r="V153" i="11"/>
  <c r="W153" i="11"/>
  <c r="S153" i="11"/>
  <c r="R153" i="11"/>
  <c r="V152" i="11"/>
  <c r="W152" i="11"/>
  <c r="S152" i="11"/>
  <c r="R152" i="11"/>
  <c r="V151" i="11"/>
  <c r="W151" i="11"/>
  <c r="S151" i="11"/>
  <c r="R151" i="11"/>
  <c r="V150" i="11"/>
  <c r="W150" i="11"/>
  <c r="S150" i="11"/>
  <c r="R150" i="11"/>
  <c r="V149" i="11"/>
  <c r="W149" i="11"/>
  <c r="S149" i="11"/>
  <c r="R149" i="11"/>
  <c r="V148" i="11"/>
  <c r="W148" i="11"/>
  <c r="S148" i="11"/>
  <c r="R148" i="11"/>
  <c r="V147" i="11"/>
  <c r="W147" i="11"/>
  <c r="S147" i="11"/>
  <c r="R147" i="11"/>
  <c r="V146" i="11"/>
  <c r="W146" i="11"/>
  <c r="S146" i="11"/>
  <c r="R146" i="11"/>
  <c r="V145" i="11"/>
  <c r="W145" i="11"/>
  <c r="S145" i="11"/>
  <c r="R145" i="11"/>
  <c r="V144" i="11"/>
  <c r="W144" i="11"/>
  <c r="S144" i="11"/>
  <c r="R144" i="11"/>
  <c r="V143" i="11"/>
  <c r="W143" i="11"/>
  <c r="S143" i="11"/>
  <c r="R143" i="11"/>
  <c r="V142" i="11"/>
  <c r="W142" i="11"/>
  <c r="S142" i="11"/>
  <c r="R142" i="11"/>
  <c r="V141" i="11"/>
  <c r="W141" i="11"/>
  <c r="S141" i="11"/>
  <c r="R141" i="11"/>
  <c r="V140" i="11"/>
  <c r="W140" i="11"/>
  <c r="S140" i="11"/>
  <c r="R140" i="11"/>
  <c r="V139" i="11"/>
  <c r="W139" i="11"/>
  <c r="S139" i="11"/>
  <c r="R139" i="11"/>
  <c r="V138" i="11"/>
  <c r="W138" i="11"/>
  <c r="S138" i="11"/>
  <c r="R138" i="11"/>
  <c r="V137" i="11"/>
  <c r="W137" i="11"/>
  <c r="S137" i="11"/>
  <c r="R137" i="11"/>
  <c r="V136" i="11"/>
  <c r="W136" i="11"/>
  <c r="S136" i="11"/>
  <c r="R136" i="11"/>
  <c r="V135" i="11"/>
  <c r="W135" i="11"/>
  <c r="S135" i="11"/>
  <c r="R135" i="11"/>
  <c r="V134" i="11"/>
  <c r="W134" i="11"/>
  <c r="S134" i="11"/>
  <c r="R134" i="11"/>
  <c r="V133" i="11"/>
  <c r="W133" i="11"/>
  <c r="S133" i="11"/>
  <c r="R133" i="11"/>
  <c r="V132" i="11"/>
  <c r="W132" i="11"/>
  <c r="S132" i="11"/>
  <c r="R132" i="11"/>
  <c r="V131" i="11"/>
  <c r="W131" i="11"/>
  <c r="S131" i="11"/>
  <c r="R131" i="11"/>
  <c r="V130" i="11"/>
  <c r="W130" i="11"/>
  <c r="S130" i="11"/>
  <c r="R130" i="11"/>
  <c r="V129" i="11"/>
  <c r="W129" i="11"/>
  <c r="S129" i="11"/>
  <c r="R129" i="11"/>
  <c r="V128" i="11"/>
  <c r="W128" i="11"/>
  <c r="S128" i="11"/>
  <c r="R128" i="11"/>
  <c r="V127" i="11"/>
  <c r="W127" i="11"/>
  <c r="S127" i="11"/>
  <c r="R127" i="11"/>
  <c r="V126" i="11"/>
  <c r="W126" i="11"/>
  <c r="S126" i="11"/>
  <c r="R126" i="11"/>
  <c r="V125" i="11"/>
  <c r="W125" i="11"/>
  <c r="S125" i="11"/>
  <c r="R125" i="11"/>
  <c r="V124" i="11"/>
  <c r="W124" i="11"/>
  <c r="S124" i="11"/>
  <c r="R124" i="11"/>
  <c r="V123" i="11"/>
  <c r="W123" i="11"/>
  <c r="S123" i="11"/>
  <c r="R123" i="11"/>
  <c r="X7" i="9" l="1"/>
  <c r="X11" i="9"/>
  <c r="Y5" i="9"/>
  <c r="Y9" i="9"/>
  <c r="X29" i="9"/>
  <c r="X5" i="9"/>
  <c r="Y6" i="9"/>
  <c r="Y7" i="9"/>
  <c r="X9" i="9"/>
  <c r="Y10" i="9"/>
  <c r="Y11" i="9"/>
  <c r="X28" i="9"/>
  <c r="M54" i="3"/>
  <c r="M53" i="3"/>
  <c r="N52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N28" i="3"/>
  <c r="M28" i="3"/>
  <c r="N27" i="3"/>
  <c r="N26" i="3"/>
  <c r="M26" i="3"/>
  <c r="N25" i="3"/>
  <c r="M25" i="3"/>
  <c r="M23" i="3"/>
  <c r="M22" i="3"/>
  <c r="M21" i="3"/>
  <c r="M20" i="3"/>
  <c r="M19" i="3"/>
  <c r="M18" i="3"/>
  <c r="N17" i="3"/>
  <c r="M17" i="3"/>
  <c r="M16" i="3"/>
  <c r="N16" i="3"/>
  <c r="M15" i="3"/>
  <c r="M14" i="3"/>
  <c r="M13" i="3"/>
  <c r="M12" i="3"/>
  <c r="M11" i="3"/>
  <c r="M10" i="3"/>
  <c r="M9" i="3"/>
  <c r="M8" i="3"/>
  <c r="M7" i="3"/>
  <c r="M6" i="3"/>
  <c r="M5" i="3"/>
  <c r="M4" i="3"/>
  <c r="N54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N4" i="4"/>
  <c r="M4" i="4"/>
  <c r="R6" i="4" l="1"/>
  <c r="M55" i="4"/>
  <c r="R4" i="4"/>
  <c r="R5" i="4"/>
  <c r="R7" i="4"/>
  <c r="R8" i="4" l="1"/>
</calcChain>
</file>

<file path=xl/sharedStrings.xml><?xml version="1.0" encoding="utf-8"?>
<sst xmlns="http://schemas.openxmlformats.org/spreadsheetml/2006/main" count="1465" uniqueCount="405">
  <si>
    <t>SL.</t>
  </si>
  <si>
    <t>NO.</t>
  </si>
  <si>
    <t>DESCRIPTION</t>
  </si>
  <si>
    <t>UNIT</t>
  </si>
  <si>
    <t>APPENDIX-A</t>
  </si>
  <si>
    <t>CONSUMER PRICES OF ESSENTIAL ITEMS</t>
  </si>
  <si>
    <t>PRICES ON 23-07-2026</t>
  </si>
  <si>
    <t>Islamabad (01)</t>
  </si>
  <si>
    <t>MIN</t>
  </si>
  <si>
    <t>AVG</t>
  </si>
  <si>
    <t>MAX</t>
  </si>
  <si>
    <t>Rawalpindi (02)</t>
  </si>
  <si>
    <t>Gujranwala (03)</t>
  </si>
  <si>
    <t>Sialkot (04)</t>
  </si>
  <si>
    <t>Lahore (05)</t>
  </si>
  <si>
    <t>Faisalabad (06)</t>
  </si>
  <si>
    <t>Sargodha (07)</t>
  </si>
  <si>
    <t>Wheat Flour Bag</t>
  </si>
  <si>
    <t>20 Kg</t>
  </si>
  <si>
    <t>Rice Basmati Broken (Average Quality)</t>
  </si>
  <si>
    <t>1 Kg</t>
  </si>
  <si>
    <t>Rice IRRI-6/9 (Sindh/Punjab)</t>
  </si>
  <si>
    <t>Bread plain (Small Size)</t>
  </si>
  <si>
    <t>Each</t>
  </si>
  <si>
    <t>Beef with Bone (Average Quality)</t>
  </si>
  <si>
    <t>Mutton (Average Quality)</t>
  </si>
  <si>
    <t>Chicken Farm Broiler (Live)</t>
  </si>
  <si>
    <t>Milk fresh (Un-boiled)</t>
  </si>
  <si>
    <t>1 Ltr</t>
  </si>
  <si>
    <t>Curd (Dahi) Loose</t>
  </si>
  <si>
    <t>Powdered Milk NIDO 390 gm Polybag</t>
  </si>
  <si>
    <t>Eggs Hen (Farm)</t>
  </si>
  <si>
    <t>1 Dozen</t>
  </si>
  <si>
    <t>Mustard Oil (Average Quality)</t>
  </si>
  <si>
    <t>Cooking Oil DALDA or Other Similar Brand (SN), 5 Litre Tin</t>
  </si>
  <si>
    <t>Vegetable Ghee DALDA/HABIB 2.5 kg Tin</t>
  </si>
  <si>
    <t>Vegetable Ghee DALDA/HABIB or Other superior Quality 1 kg Pouch</t>
  </si>
  <si>
    <t>Bananas (Kela) Local</t>
  </si>
  <si>
    <t>Pulse Masoor (Washed)</t>
  </si>
  <si>
    <t>Pulse Moong (Washed)</t>
  </si>
  <si>
    <t>Pulse Mash (Washed)</t>
  </si>
  <si>
    <t>Pulse Gram</t>
  </si>
  <si>
    <t>Potatoes</t>
  </si>
  <si>
    <t>Onions</t>
  </si>
  <si>
    <t>Tomatoes</t>
  </si>
  <si>
    <t>Sugar Refined</t>
  </si>
  <si>
    <t>Gur (Average Quality)</t>
  </si>
  <si>
    <t>Salt Powdered (NATIONAL/SHAN) 800 gm Packet</t>
  </si>
  <si>
    <t>Chilies Powder NATIONAL 200 gm Packet</t>
  </si>
  <si>
    <t>Garlic (Lehsun)</t>
  </si>
  <si>
    <t>Tea Lipton Yellow Label 190 gm Packet</t>
  </si>
  <si>
    <t>Cooked Beef at Average Hotel</t>
  </si>
  <si>
    <t>Per Plate</t>
  </si>
  <si>
    <t>Cooked Daal at Average Hotel</t>
  </si>
  <si>
    <t>Tea Prepared Ordinary</t>
  </si>
  <si>
    <t>Per Cup</t>
  </si>
  <si>
    <t>Cigarettes Capstan 20'S Packet</t>
  </si>
  <si>
    <t>Long Cloth 57" Gul Ahmed/Al Karam</t>
  </si>
  <si>
    <t>1 mtr</t>
  </si>
  <si>
    <t>Shirting (Average Quality)</t>
  </si>
  <si>
    <t>Lawn Printed Gul Ahmed/Al Karam</t>
  </si>
  <si>
    <t>Georgette (Average Quality)</t>
  </si>
  <si>
    <t>Gents Sandal Bata</t>
  </si>
  <si>
    <t>Pair</t>
  </si>
  <si>
    <t>Gents Sponge Chappal Bata</t>
  </si>
  <si>
    <t>Ladies Sandal Bata</t>
  </si>
  <si>
    <t>Electricity Charges upto 50 Units</t>
  </si>
  <si>
    <t>Per Unit</t>
  </si>
  <si>
    <t>Electricity Charges for Q1*</t>
  </si>
  <si>
    <t>MMBTU</t>
  </si>
  <si>
    <t>Firewood Whole</t>
  </si>
  <si>
    <t>40 Kg</t>
  </si>
  <si>
    <t>Energy Saver Philips 14 Watt</t>
  </si>
  <si>
    <t>Sufi Washing Soap 250 gm Cake</t>
  </si>
  <si>
    <t>Match Box</t>
  </si>
  <si>
    <t>Petrol Super</t>
  </si>
  <si>
    <t>Per Litre</t>
  </si>
  <si>
    <t>Hi-Speed Diesel</t>
  </si>
  <si>
    <t>LPG 11.67 kg Cylinder</t>
  </si>
  <si>
    <t>Telephone Call Charges</t>
  </si>
  <si>
    <t>Per Minute</t>
  </si>
  <si>
    <t>Toilet Soap LIFEBUOY 115 gm</t>
  </si>
  <si>
    <t>Multan (08)</t>
  </si>
  <si>
    <t>Bahawalpur (09)</t>
  </si>
  <si>
    <t>Karachi (10)</t>
  </si>
  <si>
    <t>Hyderabad (11)</t>
  </si>
  <si>
    <t>Sukkur (12)</t>
  </si>
  <si>
    <t>Larkana (13)</t>
  </si>
  <si>
    <t>Peshawar (14)</t>
  </si>
  <si>
    <t>National Ave.</t>
  </si>
  <si>
    <t>% Change over</t>
  </si>
  <si>
    <t>Yearly Average Prices</t>
  </si>
  <si>
    <t>Prv. Wk</t>
  </si>
  <si>
    <t>Cor. Wk</t>
  </si>
  <si>
    <t>25-26</t>
  </si>
  <si>
    <t>24-25</t>
  </si>
  <si>
    <t>Diff</t>
  </si>
  <si>
    <t>% Chng</t>
  </si>
  <si>
    <t>Bannu (15)</t>
  </si>
  <si>
    <t>Quetta (16)</t>
  </si>
  <si>
    <t>Khuzdar (17)</t>
  </si>
  <si>
    <t>National Average</t>
  </si>
  <si>
    <t>Serial No.</t>
  </si>
  <si>
    <t>Item Description</t>
  </si>
  <si>
    <t>Current week</t>
  </si>
  <si>
    <t>Previous week</t>
  </si>
  <si>
    <t>Coressponding week</t>
  </si>
  <si>
    <t>APPENDIX-B</t>
  </si>
  <si>
    <t>Cement</t>
  </si>
  <si>
    <t>CNG</t>
  </si>
  <si>
    <t>Unit</t>
  </si>
  <si>
    <t>Painter</t>
  </si>
  <si>
    <t>Daily</t>
  </si>
  <si>
    <t>Mason (Raj)</t>
  </si>
  <si>
    <t>Labourer</t>
  </si>
  <si>
    <t>Plumber</t>
  </si>
  <si>
    <t>Electrician</t>
  </si>
  <si>
    <t>P/Point</t>
  </si>
  <si>
    <t>N.A. stands for Not Available.</t>
  </si>
  <si>
    <t>Rawal-pindi</t>
  </si>
  <si>
    <t>Gujran-wala</t>
  </si>
  <si>
    <t>Lahore</t>
  </si>
  <si>
    <t>Faisal-abad</t>
  </si>
  <si>
    <t>Sar-godha</t>
  </si>
  <si>
    <t>Multan</t>
  </si>
  <si>
    <t>Baha-walpur</t>
  </si>
  <si>
    <t>Hyder-abad</t>
  </si>
  <si>
    <t>Sukkur</t>
  </si>
  <si>
    <t>Larkana</t>
  </si>
  <si>
    <t>Pesha-war</t>
  </si>
  <si>
    <t>Bannu</t>
  </si>
  <si>
    <t>Quetta</t>
  </si>
  <si>
    <t>A: Retail Prices of Fertilizers (50 kg/bag) for the Week Ended on 23-07-2026</t>
  </si>
  <si>
    <t>No.</t>
  </si>
  <si>
    <t>Description</t>
  </si>
  <si>
    <t>Average Price for                                                23-07-26 16-07-26 24-07-25</t>
  </si>
  <si>
    <t>% Change over                 16-07-26 24-07-25</t>
  </si>
  <si>
    <t>Sona Urea</t>
  </si>
  <si>
    <t>Other Urea (Tara, Sarsabz, Shandar etc)</t>
  </si>
  <si>
    <t>N.A.</t>
  </si>
  <si>
    <t>Calcium Ammonium Nitrate</t>
  </si>
  <si>
    <t>S.S Phosphate, Gr. 18%</t>
  </si>
  <si>
    <t>Sulphate of Potash</t>
  </si>
  <si>
    <t>Nitro. Phosphate</t>
  </si>
  <si>
    <t>DIA Amun. Phosphate</t>
  </si>
  <si>
    <t>Nitro. Phosph. &amp; Pot. (Npk)</t>
  </si>
  <si>
    <t>Islam-abad</t>
  </si>
  <si>
    <t>Sialkot</t>
  </si>
  <si>
    <t>Karachi</t>
  </si>
  <si>
    <t>Khuz-dar</t>
  </si>
  <si>
    <t>B: Retail Prices of Cement (50 kg/bag) for the Week Ended on 23-07-2026</t>
  </si>
  <si>
    <t>Avg. Price per litre</t>
  </si>
  <si>
    <t>% change over Pre. week</t>
  </si>
  <si>
    <t>Avg. Price per kg</t>
  </si>
  <si>
    <t>C: Prices of CNG (per litre for Punjab and per kg otherwise) for the Week Ended on 23-07-2026</t>
  </si>
  <si>
    <t>D: Wage Rates for the Week Ended on 23-07-2026</t>
  </si>
  <si>
    <t>Annexure-V</t>
  </si>
  <si>
    <t>Quintile/Commodity wise Indices and their % Change over</t>
  </si>
  <si>
    <t>Previous and Corresponding Weeks of SPI for 51 Items</t>
  </si>
  <si>
    <t>Commodity Groups</t>
  </si>
  <si>
    <t>Index for the Week
23-07-2026          16-07-2026          24-07-2025</t>
  </si>
  <si>
    <t>% Change in 23-07-2026 over
16-07-2026        24-07-2025</t>
  </si>
  <si>
    <t>Quintile - I</t>
  </si>
  <si>
    <t>Food</t>
  </si>
  <si>
    <t>Non-food</t>
  </si>
  <si>
    <t>Other Non-food</t>
  </si>
  <si>
    <t>Utility</t>
  </si>
  <si>
    <t>Transport</t>
  </si>
  <si>
    <t>General</t>
  </si>
  <si>
    <t>Quintile - II</t>
  </si>
  <si>
    <t>Quintile - III</t>
  </si>
  <si>
    <t>Quintile - IV</t>
  </si>
  <si>
    <t>Quintile - V</t>
  </si>
  <si>
    <t>Quintile - VI (Overall/Combined)</t>
  </si>
  <si>
    <t xml:space="preserve">Quintile - VI </t>
  </si>
  <si>
    <t>Annexure-III</t>
  </si>
  <si>
    <t>Government of Pakistan</t>
  </si>
  <si>
    <t>Pakistan Bureau of Statistics</t>
  </si>
  <si>
    <t>Subject:   Sensitive Price Indicator (SPI) for the week ended on 23-07-2026.</t>
  </si>
  <si>
    <t>The weekly SPI with base 2015-16=100 covering 17 urban centres and 51 essential items</t>
  </si>
  <si>
    <t>for all expenditure groups/quintiles and combined has been computed.</t>
  </si>
  <si>
    <t>2.</t>
  </si>
  <si>
    <t>For the week ended on July 23, 2026, the SPI and percentage changes by</t>
  </si>
  <si>
    <t>Consumption groups/quintiles and combined are given below:</t>
  </si>
  <si>
    <t>SPI (51 items) 2015-16=100</t>
  </si>
  <si>
    <t>Expenditure Group (Quintile)</t>
  </si>
  <si>
    <t>SPI for week ended on
23-07-2026     16-07-26     24-07-25</t>
  </si>
  <si>
    <t>% change over
16-07-26     24-07-25</t>
  </si>
  <si>
    <t>Q1 (Upto Rs. 17,732)</t>
  </si>
  <si>
    <t>Q2 (Rs. 17,733 - 22,888)</t>
  </si>
  <si>
    <t>Q3 (Rs. 22,889 - 29,517)</t>
  </si>
  <si>
    <t>Q4 (Rs. 29,518 - 44,175)</t>
  </si>
  <si>
    <t>Q5 (Above Rs. 44,175)</t>
  </si>
  <si>
    <t xml:space="preserve">                         Combined</t>
  </si>
  <si>
    <t>3.</t>
  </si>
  <si>
    <t>The trend of weekly SPI with base 2015-16=100 during the last 10 weeks as compared to</t>
  </si>
  <si>
    <t>the respective previous as well as corresponding weeks of last year is as under:</t>
  </si>
  <si>
    <t>Week ended on</t>
  </si>
  <si>
    <t>SPI for lowest expenditure group</t>
  </si>
  <si>
    <t>% change over              Pr. Week   Cor. Week</t>
  </si>
  <si>
    <t>Combined SPI</t>
  </si>
  <si>
    <t>4.</t>
  </si>
  <si>
    <t>A statement showing citywise prices of essential items pertaining to 17 urban centres is</t>
  </si>
  <si>
    <t>placed at Appendix-A.</t>
  </si>
  <si>
    <t>23-07-2026</t>
  </si>
  <si>
    <t>16-07-2026</t>
  </si>
  <si>
    <t>09-07-2026</t>
  </si>
  <si>
    <t>02-07-2026</t>
  </si>
  <si>
    <t>18-06-2026</t>
  </si>
  <si>
    <t>11-06-2026</t>
  </si>
  <si>
    <t>04-06-2026</t>
  </si>
  <si>
    <t>28-05-2026</t>
  </si>
  <si>
    <t>21-05-2026</t>
  </si>
  <si>
    <t>14-05-2026</t>
  </si>
  <si>
    <t>Names of cities having maximum and minimum prices of SPI for the week ending on 23-07-2026</t>
  </si>
  <si>
    <t>Sl. No.</t>
  </si>
  <si>
    <t>Minimum Prices</t>
  </si>
  <si>
    <t>Maximum Prices</t>
  </si>
  <si>
    <t>(Rs. 2200) Rawalpindi, Gujranwala, Sialkot, Faisalabad, Sargodha, Multan</t>
  </si>
  <si>
    <t>(Rs. 2960) Islamabad</t>
  </si>
  <si>
    <t>(Rs. 140) Bannu</t>
  </si>
  <si>
    <t>(Rs. 300) Quetta</t>
  </si>
  <si>
    <t>(Rs. 110) Larkana</t>
  </si>
  <si>
    <t>(Rs. 200) Islamabad, Bahawalpur</t>
  </si>
  <si>
    <t>(Rs. 100) Sargodha, Bannu</t>
  </si>
  <si>
    <t>(Rs. 130) Sialkot, Lahore, Karachi, Hyderabad, Sukkur, Quetta</t>
  </si>
  <si>
    <t>(Rs. 1000) Bannu</t>
  </si>
  <si>
    <t>(Rs. 1550) Islamabad, Rawalpindi</t>
  </si>
  <si>
    <t>(Rs. 1800) Bannu</t>
  </si>
  <si>
    <t>(Rs. 3000) Lahore</t>
  </si>
  <si>
    <t>(Rs. 310) Hyderabad</t>
  </si>
  <si>
    <t>(Rs. 440) Khuzdar</t>
  </si>
  <si>
    <t>(Rs. 170) Sargodha</t>
  </si>
  <si>
    <t>(Rs. 270) Peshawar</t>
  </si>
  <si>
    <t>(Rs. 190) Sialkot</t>
  </si>
  <si>
    <t>(Rs. 400) Karachi</t>
  </si>
  <si>
    <t>(Rs. 1100) Larkana, Bannu</t>
  </si>
  <si>
    <t>(Rs. 1200) Islamabad, Rawalpindi, Sialkot, Peshawar</t>
  </si>
  <si>
    <t>(Rs. 230) Bannu</t>
  </si>
  <si>
    <t>(Rs. 280) Islamabad, Rawalpindi, Larkana, Peshawar</t>
  </si>
  <si>
    <t>(Rs. 460) Sukkur</t>
  </si>
  <si>
    <t>(Rs. 720) Islamabad</t>
  </si>
  <si>
    <t>(Rs. 2975) Khuzdar</t>
  </si>
  <si>
    <t>(Rs. 3110) Larkana</t>
  </si>
  <si>
    <t>(Rs. 1500) Larkana, Bannu</t>
  </si>
  <si>
    <t>(Rs. 1580) Islamabad, Rawalpindi</t>
  </si>
  <si>
    <t>(Rs. 590) Bannu</t>
  </si>
  <si>
    <t>(Rs. 615) Gujranwala, Sargodha, Karachi, Quetta</t>
  </si>
  <si>
    <t>(Rs. 120) Karachi, Hyderabad, Larkana</t>
  </si>
  <si>
    <t>(Rs. 300) Islamabad</t>
  </si>
  <si>
    <t>(Rs. 220) Gujranwala, Bahawalpur, Karachi, Sukkur</t>
  </si>
  <si>
    <t>(Rs. 320) Multan</t>
  </si>
  <si>
    <t>(Rs. 280) Gujranwala, Khuzdar</t>
  </si>
  <si>
    <t>(Rs. 480) Larkana</t>
  </si>
  <si>
    <t>(Rs. 360) Bahawalpur</t>
  </si>
  <si>
    <t>(Rs. 540) Islamabad</t>
  </si>
  <si>
    <t>(Rs. 200) Bahawalpur</t>
  </si>
  <si>
    <t>(Rs. 320) Islamabad</t>
  </si>
  <si>
    <t>(Rs. 30) Bannu</t>
  </si>
  <si>
    <t>(Rs. 90) Islamabad, Sargodha, Bahawalpur</t>
  </si>
  <si>
    <t>(Rs. 80) Karachi, Hyderabad, Sukkur, Larkana, Khuzdar</t>
  </si>
  <si>
    <t>(Rs. 150) Islamabad, Rawalpindi</t>
  </si>
  <si>
    <t>(Rs. 220) Quetta</t>
  </si>
  <si>
    <t>(Rs. 480) Islamabad, Rawalpindi</t>
  </si>
  <si>
    <t>(Rs. 140) Bahawalpur, Hyderabad, Sukkur</t>
  </si>
  <si>
    <t>(Rs. 160) Peshawar, Khuzdar</t>
  </si>
  <si>
    <t>(Rs. 160) Bahawalpur</t>
  </si>
  <si>
    <t>(Rs. 290) Islamabad</t>
  </si>
  <si>
    <t>(Rs. 60) Islamabad, Rawalpindi, Gujranwala, Lahore, Faisalabad, Sargodha, Multan, Bahawalpur, Karachi, Hyderabad, Sukkur, Peshawar, Bannu, Quetta</t>
  </si>
  <si>
    <t>(Rs. 80) Karachi</t>
  </si>
  <si>
    <t>(Rs. 320) Larkana, Bannu, Khuzdar</t>
  </si>
  <si>
    <t>(Rs. 380) Islamabad, Rawalpindi, Gujranwala, Sialkot, Lahore, Faisalabad, Sargodha, Multan, Bahawalpur, Karachi, Hyderabad, Sukkur, Peshawar, Quetta</t>
  </si>
  <si>
    <t>(Rs. 250) Sialkot, Lahore, Peshawar</t>
  </si>
  <si>
    <t>(Rs. 600) Islamabad, Khuzdar</t>
  </si>
  <si>
    <t>(Rs. 447) Sargodha, Bahawalpur, Bannu, Quetta, Khuzdar</t>
  </si>
  <si>
    <t>(Rs. 469.42) Karachi</t>
  </si>
  <si>
    <t>(Rs. 200) Sukkur</t>
  </si>
  <si>
    <t>(Rs. 450) Gujranwala, Karachi</t>
  </si>
  <si>
    <t>(Rs. 130) Bannu</t>
  </si>
  <si>
    <t>(Rs. 260) Islamabad</t>
  </si>
  <si>
    <t>(Rs. 50) Sialkot, Bahawalpur, Peshawar, Bannu, Khuzdar</t>
  </si>
  <si>
    <t>(Rs. 80) Islamabad, Rawalpindi, Lahore, Multan, Karachi, Hyderabad, Larkana, Quetta</t>
  </si>
  <si>
    <t>(Rs. 240) Sargodha, Bahawalpur, Larkana</t>
  </si>
  <si>
    <t>(Rs. 270) Lahore, Peshawar</t>
  </si>
  <si>
    <t>(Rs. 400) Khuzdar</t>
  </si>
  <si>
    <t>(Rs. 850) Lahore</t>
  </si>
  <si>
    <t>(Rs. 230) Quetta</t>
  </si>
  <si>
    <t>(Rs. 900) Faisalabad</t>
  </si>
  <si>
    <t>(Rs. 900) Peshawar</t>
  </si>
  <si>
    <t>(Rs. 200) Sukkur, Quetta</t>
  </si>
  <si>
    <t>(Rs. 490) Islamabad</t>
  </si>
  <si>
    <t>(Rs. 2499) All 17 cities</t>
  </si>
  <si>
    <t>(Rs. 699) All 17 cities</t>
  </si>
  <si>
    <t>(Rs. 1499) All 17 cities</t>
  </si>
  <si>
    <t>(Rs. 6.95) All 17 cities</t>
  </si>
  <si>
    <t>(Rs. 2566.5) All 17 cities</t>
  </si>
  <si>
    <t>(Rs. 900) Bannu</t>
  </si>
  <si>
    <t>(Rs. 2350) Islamabad</t>
  </si>
  <si>
    <t>(Rs. 240) Rawalpindi</t>
  </si>
  <si>
    <t>(Rs. 580) Khuzdar</t>
  </si>
  <si>
    <t>(Rs. 130) Sialkot, Bannu</t>
  </si>
  <si>
    <t>(Rs. 160) Islamabad, Rawalpindi</t>
  </si>
  <si>
    <t>(Rs. 5) Bannu, Quetta, Khuzdar</t>
  </si>
  <si>
    <t>(Rs. 7) Gujranwala, Lahore, Faisalabad, Multan, Bahawalpur, Karachi, Hyderabad, Larkana, Peshawar, Quetta</t>
  </si>
  <si>
    <t>(Rs. 327.12) Lahore</t>
  </si>
  <si>
    <t>(Rs. 331.17) Hyderabad</t>
  </si>
  <si>
    <t>(Rs. 375.04) Lahore</t>
  </si>
  <si>
    <t>(Rs. 379) Hyderabad</t>
  </si>
  <si>
    <t>(Rs. 4084.5) Khuzdar</t>
  </si>
  <si>
    <t>(Rs. 5200) Islamabad</t>
  </si>
  <si>
    <t>(Rs. 1.79) All 17 cities</t>
  </si>
  <si>
    <t>(Rs. 110) Khuzdar</t>
  </si>
  <si>
    <t>(Rs. 118.6) Larkana</t>
  </si>
  <si>
    <t>Statement showing SPI prices, indices, %changes and impacts for 51 items with Base 2015-16 (Combined)</t>
  </si>
  <si>
    <t>Current Date = 23/07/2026  ,Previous Date = 16/07/2026  ,Corresponding Date = 24/07/2025</t>
  </si>
  <si>
    <t>Item Code</t>
  </si>
  <si>
    <t>Weighted Base Price</t>
  </si>
  <si>
    <t>Weight</t>
  </si>
  <si>
    <t>Weighted Prices
(Curr)          (Prev)          (Corr)</t>
  </si>
  <si>
    <t>Weighted Price Relatives
(Curr)        (Prev)        (Corr)</t>
  </si>
  <si>
    <t>Impact with               Prev             Corr</t>
  </si>
  <si>
    <t>01.1.1.04</t>
  </si>
  <si>
    <t>01.1.1.10</t>
  </si>
  <si>
    <t>01.1.1.11</t>
  </si>
  <si>
    <t>01.1.1.12</t>
  </si>
  <si>
    <t>01.1.2.01</t>
  </si>
  <si>
    <t>01.1.2.02</t>
  </si>
  <si>
    <t>01.1.2.03</t>
  </si>
  <si>
    <t>01.1.4.01</t>
  </si>
  <si>
    <t>01.1.4.03</t>
  </si>
  <si>
    <t>01.1.4.05</t>
  </si>
  <si>
    <t>01.1.4.06</t>
  </si>
  <si>
    <t>01.1.5.02</t>
  </si>
  <si>
    <t>01.1.5.03</t>
  </si>
  <si>
    <t>01.1.5.04</t>
  </si>
  <si>
    <t>01.1.5.05</t>
  </si>
  <si>
    <t>01.1.6.07</t>
  </si>
  <si>
    <t>01.1.7.01</t>
  </si>
  <si>
    <t>01.1.7.02</t>
  </si>
  <si>
    <t>01.1.7.03</t>
  </si>
  <si>
    <t>01.1.7.04</t>
  </si>
  <si>
    <t>01.1.7.08</t>
  </si>
  <si>
    <t>01.1.7.10</t>
  </si>
  <si>
    <t>01.1.7.11</t>
  </si>
  <si>
    <t>01.1.8.01</t>
  </si>
  <si>
    <t>01.1.8.02</t>
  </si>
  <si>
    <t>01.1.9.06</t>
  </si>
  <si>
    <t>01.1.9.07</t>
  </si>
  <si>
    <t>01.1.7.26</t>
  </si>
  <si>
    <t>01.2.1.01</t>
  </si>
  <si>
    <t>11.1.1.03</t>
  </si>
  <si>
    <t>11.1.1.04</t>
  </si>
  <si>
    <t>11.1.1.06</t>
  </si>
  <si>
    <t>02.2.0.01</t>
  </si>
  <si>
    <t>03.1.1.01</t>
  </si>
  <si>
    <t>03.1.1.02</t>
  </si>
  <si>
    <t>03.1.1.04</t>
  </si>
  <si>
    <t>03.1.1.05</t>
  </si>
  <si>
    <t>03.2.1.02</t>
  </si>
  <si>
    <t>03.2.1.03</t>
  </si>
  <si>
    <t>03.2.1.04</t>
  </si>
  <si>
    <t>04.5.1.01</t>
  </si>
  <si>
    <t>04.5.2.01</t>
  </si>
  <si>
    <t>04.5.4.01</t>
  </si>
  <si>
    <t>05.1.1.10</t>
  </si>
  <si>
    <t>05.6.1.01</t>
  </si>
  <si>
    <t>05.6.1.10</t>
  </si>
  <si>
    <t>07.2.2.01</t>
  </si>
  <si>
    <t>07.2.2.02</t>
  </si>
  <si>
    <t>04.5.2.07</t>
  </si>
  <si>
    <t>08.3.0.01</t>
  </si>
  <si>
    <t>12.1.3.02</t>
  </si>
  <si>
    <t>Current with previous</t>
  </si>
  <si>
    <t>Current with corresponding</t>
  </si>
  <si>
    <t>Summary for the Minister</t>
  </si>
  <si>
    <t>Item group</t>
  </si>
  <si>
    <t>Impact (current with) previous    corresponding</t>
  </si>
  <si>
    <t>Total</t>
  </si>
  <si>
    <t>Statement showing SPI prices, indices, %changes and impacts for 51 items with Base 2015-16 (Lowest)</t>
  </si>
  <si>
    <t>MoM</t>
  </si>
  <si>
    <t>%change</t>
  </si>
  <si>
    <t>YoY</t>
  </si>
  <si>
    <t>i.    Average prices of the following 22 items registered INCREASE.</t>
  </si>
  <si>
    <t>TOTAL</t>
  </si>
  <si>
    <t>ii.    Average prices of the following 8 items registered DECREASE.</t>
  </si>
  <si>
    <t>Electricity Charges for Q1</t>
  </si>
  <si>
    <t>iii.    Average prices of the following 21 items remained UNCHANGED</t>
  </si>
  <si>
    <t>The comparative changes in prices i.e. increase, decrease and unchanged for the week ended on 23-07-2026 over</t>
  </si>
  <si>
    <t>previous and corresponding weeks ended on 16-07-2026 and 24-07-2025 repectively are as follows:</t>
  </si>
  <si>
    <t>Sr.</t>
  </si>
  <si>
    <t>Items</t>
  </si>
  <si>
    <t>Units</t>
  </si>
  <si>
    <t>Prices in Rs.
on
23.07.26 16.07.26 24.07.25</t>
  </si>
  <si>
    <t>%change                col. 3 over                  16.07.26 24.07.25</t>
  </si>
  <si>
    <t>Weight of expenditure group in %                                  Lowest Combined</t>
  </si>
  <si>
    <t>Impact of expenditure group in % points                  Lowest Combined</t>
  </si>
  <si>
    <t>E: Wheat Rates for the Week Ended on 23.07.2026</t>
  </si>
  <si>
    <t>Khuzdar</t>
  </si>
  <si>
    <t>Average Price for
23.07.2026     16.07.2026</t>
  </si>
  <si>
    <t>% Change over               16.07.2026</t>
  </si>
  <si>
    <t>Wheat</t>
  </si>
  <si>
    <t>10 kg</t>
  </si>
  <si>
    <t>Wheat Flour (Fine)</t>
  </si>
  <si>
    <t>1 kg</t>
  </si>
  <si>
    <t>Gas Charges for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</si>
</sst>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"/>
    <numFmt numFmtId="165" formatCode="#"/>
    <numFmt numFmtId="166" formatCode="#0.0000"/>
  </numFmts>
  <fonts count="19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b/>
      <u/>
      <sz val="14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49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2" fillId="0" borderId="1" xfId="0" applyFont="1" applyBorder="1"/>
    <xf numFmtId="166" fontId="2" fillId="0" borderId="1" xfId="0" applyNumberFormat="1" applyFont="1" applyBorder="1"/>
    <xf numFmtId="164" fontId="2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0" fontId="5" fillId="0" borderId="1" xfId="0" applyFont="1" applyBorder="1" applyAlignment="1">
      <alignment horizontal="center"/>
    </xf>
    <xf numFmtId="0" fontId="11" fillId="0" borderId="1" xfId="0" applyFont="1" applyBorder="1"/>
    <xf numFmtId="164" fontId="11" fillId="0" borderId="1" xfId="0" applyNumberFormat="1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165" fontId="11" fillId="0" borderId="1" xfId="0" applyNumberFormat="1" applyFont="1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49" fontId="5" fillId="0" borderId="0" xfId="0" applyNumberFormat="1" applyFont="1"/>
    <xf numFmtId="49" fontId="11" fillId="0" borderId="0" xfId="0" applyNumberFormat="1" applyFont="1"/>
    <xf numFmtId="0" fontId="5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66" fontId="11" fillId="0" borderId="1" xfId="0" applyNumberFormat="1" applyFont="1" applyBorder="1"/>
    <xf numFmtId="166" fontId="5" fillId="0" borderId="1" xfId="0" applyNumberFormat="1" applyFont="1" applyBorder="1"/>
    <xf numFmtId="166" fontId="11" fillId="0" borderId="0" xfId="0" applyNumberFormat="1" applyFont="1"/>
    <xf numFmtId="166" fontId="4" fillId="0" borderId="0" xfId="0" applyNumberFormat="1" applyFon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4" fillId="0" borderId="0" xfId="0" applyNumberFormat="1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2" fontId="11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1" fillId="0" borderId="1" xfId="0" applyFont="1" applyBorder="1"/>
    <xf numFmtId="164" fontId="5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B174-7CFF-4165-8C5C-32DE28432ACD}">
  <dimension ref="A1:Y179"/>
  <sheetViews>
    <sheetView view="pageBreakPreview" topLeftCell="A37" zoomScale="58" zoomScaleNormal="100" zoomScaleSheetLayoutView="58" workbookViewId="0">
      <selection activeCell="B48" sqref="B48"/>
    </sheetView>
  </sheetViews>
  <sheetFormatPr defaultRowHeight="14.4" x14ac:dyDescent="0.3"/>
  <cols>
    <col min="1" max="1" width="3.5546875" customWidth="1"/>
    <col min="2" max="2" width="28.6640625" customWidth="1"/>
    <col min="3" max="24" width="7.5546875" customWidth="1"/>
    <col min="25" max="25" width="3.5546875" customWidth="1"/>
    <col min="26" max="46" width="7.5546875" customWidth="1"/>
    <col min="47" max="47" width="3.5546875" customWidth="1"/>
    <col min="48" max="59" width="7.5546875" customWidth="1"/>
    <col min="60" max="61" width="0" hidden="1" customWidth="1"/>
    <col min="62" max="67" width="7.5546875" customWidth="1"/>
    <col min="68" max="68" width="3.5546875" customWidth="1"/>
  </cols>
  <sheetData>
    <row r="1" spans="1:25" ht="12" customHeight="1" x14ac:dyDescent="0.3">
      <c r="A1" s="16"/>
      <c r="B1" s="16"/>
      <c r="C1" s="16"/>
      <c r="D1" s="55" t="s">
        <v>4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16"/>
    </row>
    <row r="2" spans="1:25" ht="21" x14ac:dyDescent="0.4">
      <c r="A2" s="17"/>
      <c r="B2" s="17"/>
      <c r="C2" s="17"/>
      <c r="D2" s="57" t="s">
        <v>5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17"/>
    </row>
    <row r="3" spans="1:25" x14ac:dyDescent="0.3">
      <c r="A3" s="20" t="s">
        <v>0</v>
      </c>
      <c r="B3" s="20"/>
      <c r="C3" s="20"/>
      <c r="D3" s="60" t="s">
        <v>7</v>
      </c>
      <c r="E3" s="60"/>
      <c r="F3" s="60"/>
      <c r="G3" s="60" t="s">
        <v>11</v>
      </c>
      <c r="H3" s="60"/>
      <c r="I3" s="60"/>
      <c r="J3" s="60" t="s">
        <v>12</v>
      </c>
      <c r="K3" s="60"/>
      <c r="L3" s="60"/>
      <c r="M3" s="60" t="s">
        <v>13</v>
      </c>
      <c r="N3" s="60"/>
      <c r="O3" s="60"/>
      <c r="P3" s="60" t="s">
        <v>14</v>
      </c>
      <c r="Q3" s="60"/>
      <c r="R3" s="60"/>
      <c r="S3" s="60" t="s">
        <v>15</v>
      </c>
      <c r="T3" s="60"/>
      <c r="U3" s="60"/>
      <c r="V3" s="60" t="s">
        <v>16</v>
      </c>
      <c r="W3" s="60"/>
      <c r="X3" s="60"/>
      <c r="Y3" s="20" t="s">
        <v>0</v>
      </c>
    </row>
    <row r="4" spans="1:25" x14ac:dyDescent="0.3">
      <c r="A4" s="20" t="s">
        <v>1</v>
      </c>
      <c r="B4" s="20" t="s">
        <v>2</v>
      </c>
      <c r="C4" s="20" t="s">
        <v>3</v>
      </c>
      <c r="D4" s="20" t="s">
        <v>8</v>
      </c>
      <c r="E4" s="20" t="s">
        <v>9</v>
      </c>
      <c r="F4" s="20" t="s">
        <v>10</v>
      </c>
      <c r="G4" s="20" t="s">
        <v>8</v>
      </c>
      <c r="H4" s="20" t="s">
        <v>9</v>
      </c>
      <c r="I4" s="20" t="s">
        <v>10</v>
      </c>
      <c r="J4" s="20" t="s">
        <v>8</v>
      </c>
      <c r="K4" s="20" t="s">
        <v>9</v>
      </c>
      <c r="L4" s="20" t="s">
        <v>10</v>
      </c>
      <c r="M4" s="20" t="s">
        <v>8</v>
      </c>
      <c r="N4" s="20" t="s">
        <v>9</v>
      </c>
      <c r="O4" s="20" t="s">
        <v>10</v>
      </c>
      <c r="P4" s="20" t="s">
        <v>8</v>
      </c>
      <c r="Q4" s="20" t="s">
        <v>9</v>
      </c>
      <c r="R4" s="20" t="s">
        <v>10</v>
      </c>
      <c r="S4" s="20" t="s">
        <v>8</v>
      </c>
      <c r="T4" s="20" t="s">
        <v>9</v>
      </c>
      <c r="U4" s="20" t="s">
        <v>10</v>
      </c>
      <c r="V4" s="20" t="s">
        <v>8</v>
      </c>
      <c r="W4" s="20" t="s">
        <v>9</v>
      </c>
      <c r="X4" s="20" t="s">
        <v>10</v>
      </c>
      <c r="Y4" s="20" t="s">
        <v>1</v>
      </c>
    </row>
    <row r="5" spans="1:25" ht="12" customHeight="1" x14ac:dyDescent="0.3">
      <c r="A5" s="20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0">
        <v>7</v>
      </c>
      <c r="H5" s="20">
        <v>8</v>
      </c>
      <c r="I5" s="20">
        <v>9</v>
      </c>
      <c r="J5" s="20">
        <v>10</v>
      </c>
      <c r="K5" s="20">
        <v>11</v>
      </c>
      <c r="L5" s="20">
        <v>12</v>
      </c>
      <c r="M5" s="20">
        <v>13</v>
      </c>
      <c r="N5" s="20">
        <v>14</v>
      </c>
      <c r="O5" s="20">
        <v>15</v>
      </c>
      <c r="P5" s="20">
        <v>16</v>
      </c>
      <c r="Q5" s="20">
        <v>17</v>
      </c>
      <c r="R5" s="20">
        <v>18</v>
      </c>
      <c r="S5" s="20">
        <v>19</v>
      </c>
      <c r="T5" s="20">
        <v>20</v>
      </c>
      <c r="U5" s="20">
        <v>21</v>
      </c>
      <c r="V5" s="20">
        <v>22</v>
      </c>
      <c r="W5" s="20">
        <v>23</v>
      </c>
      <c r="X5" s="20">
        <v>24</v>
      </c>
      <c r="Y5" s="20">
        <v>1</v>
      </c>
    </row>
    <row r="6" spans="1:25" ht="17.399999999999999" x14ac:dyDescent="0.3">
      <c r="A6" s="17"/>
      <c r="B6" s="17"/>
      <c r="C6" s="17"/>
      <c r="D6" s="59" t="s">
        <v>6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17"/>
    </row>
    <row r="7" spans="1:25" x14ac:dyDescent="0.3">
      <c r="A7" s="21">
        <v>1</v>
      </c>
      <c r="B7" s="21" t="s">
        <v>17</v>
      </c>
      <c r="C7" s="21" t="s">
        <v>18</v>
      </c>
      <c r="D7" s="22">
        <v>2880</v>
      </c>
      <c r="E7" s="22">
        <v>2919.93</v>
      </c>
      <c r="F7" s="22">
        <v>2960</v>
      </c>
      <c r="G7" s="22">
        <v>2200</v>
      </c>
      <c r="H7" s="22">
        <v>2684.48</v>
      </c>
      <c r="I7" s="22">
        <v>2933.33</v>
      </c>
      <c r="J7" s="22">
        <v>2200</v>
      </c>
      <c r="K7" s="22">
        <v>2501.25</v>
      </c>
      <c r="L7" s="22">
        <v>2667</v>
      </c>
      <c r="M7" s="22">
        <v>2200</v>
      </c>
      <c r="N7" s="22">
        <v>2459.1799999999998</v>
      </c>
      <c r="O7" s="22">
        <v>2600</v>
      </c>
      <c r="P7" s="22">
        <v>2250</v>
      </c>
      <c r="Q7" s="22">
        <v>2266.54</v>
      </c>
      <c r="R7" s="22">
        <v>2300</v>
      </c>
      <c r="S7" s="22">
        <v>2200</v>
      </c>
      <c r="T7" s="22">
        <v>2395.71</v>
      </c>
      <c r="U7" s="22">
        <v>2500</v>
      </c>
      <c r="V7" s="22">
        <v>2200</v>
      </c>
      <c r="W7" s="22">
        <v>2325.98</v>
      </c>
      <c r="X7" s="22">
        <v>2600</v>
      </c>
      <c r="Y7" s="23">
        <v>1</v>
      </c>
    </row>
    <row r="8" spans="1:25" x14ac:dyDescent="0.3">
      <c r="A8" s="21">
        <v>2</v>
      </c>
      <c r="B8" s="21" t="s">
        <v>19</v>
      </c>
      <c r="C8" s="21" t="s">
        <v>20</v>
      </c>
      <c r="D8" s="22">
        <v>260</v>
      </c>
      <c r="E8" s="22">
        <v>274.83</v>
      </c>
      <c r="F8" s="22">
        <v>290</v>
      </c>
      <c r="G8" s="22">
        <v>260</v>
      </c>
      <c r="H8" s="22">
        <v>270.58</v>
      </c>
      <c r="I8" s="22">
        <v>280</v>
      </c>
      <c r="J8" s="22">
        <v>180</v>
      </c>
      <c r="K8" s="22">
        <v>180</v>
      </c>
      <c r="L8" s="22">
        <v>180</v>
      </c>
      <c r="M8" s="22">
        <v>190</v>
      </c>
      <c r="N8" s="22">
        <v>190</v>
      </c>
      <c r="O8" s="22">
        <v>190</v>
      </c>
      <c r="P8" s="22">
        <v>220</v>
      </c>
      <c r="Q8" s="22">
        <v>228.47</v>
      </c>
      <c r="R8" s="22">
        <v>240</v>
      </c>
      <c r="S8" s="22">
        <v>220</v>
      </c>
      <c r="T8" s="22">
        <v>233.14</v>
      </c>
      <c r="U8" s="22">
        <v>240</v>
      </c>
      <c r="V8" s="22">
        <v>150</v>
      </c>
      <c r="W8" s="22">
        <v>156.59</v>
      </c>
      <c r="X8" s="22">
        <v>160</v>
      </c>
      <c r="Y8" s="23">
        <v>2</v>
      </c>
    </row>
    <row r="9" spans="1:25" x14ac:dyDescent="0.3">
      <c r="A9" s="21">
        <v>3</v>
      </c>
      <c r="B9" s="21" t="s">
        <v>21</v>
      </c>
      <c r="C9" s="21" t="s">
        <v>20</v>
      </c>
      <c r="D9" s="22">
        <v>160</v>
      </c>
      <c r="E9" s="22">
        <v>178.64</v>
      </c>
      <c r="F9" s="22">
        <v>200</v>
      </c>
      <c r="G9" s="22">
        <v>150</v>
      </c>
      <c r="H9" s="22">
        <v>164.27</v>
      </c>
      <c r="I9" s="22">
        <v>180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160</v>
      </c>
      <c r="T9" s="22">
        <v>160</v>
      </c>
      <c r="U9" s="22">
        <v>160</v>
      </c>
      <c r="V9" s="22">
        <v>180</v>
      </c>
      <c r="W9" s="22">
        <v>186.61</v>
      </c>
      <c r="X9" s="22">
        <v>190</v>
      </c>
      <c r="Y9" s="23">
        <v>3</v>
      </c>
    </row>
    <row r="10" spans="1:25" x14ac:dyDescent="0.3">
      <c r="A10" s="21">
        <v>4</v>
      </c>
      <c r="B10" s="21" t="s">
        <v>22</v>
      </c>
      <c r="C10" s="21" t="s">
        <v>23</v>
      </c>
      <c r="D10" s="22">
        <v>120</v>
      </c>
      <c r="E10" s="22">
        <v>120</v>
      </c>
      <c r="F10" s="22">
        <v>120</v>
      </c>
      <c r="G10" s="22">
        <v>120</v>
      </c>
      <c r="H10" s="22">
        <v>120</v>
      </c>
      <c r="I10" s="22">
        <v>120</v>
      </c>
      <c r="J10" s="22">
        <v>120</v>
      </c>
      <c r="K10" s="22">
        <v>120</v>
      </c>
      <c r="L10" s="22">
        <v>120</v>
      </c>
      <c r="M10" s="22">
        <v>130</v>
      </c>
      <c r="N10" s="22">
        <v>130</v>
      </c>
      <c r="O10" s="22">
        <v>130</v>
      </c>
      <c r="P10" s="22">
        <v>130</v>
      </c>
      <c r="Q10" s="22">
        <v>130</v>
      </c>
      <c r="R10" s="22">
        <v>130</v>
      </c>
      <c r="S10" s="22">
        <v>120</v>
      </c>
      <c r="T10" s="22">
        <v>120</v>
      </c>
      <c r="U10" s="22">
        <v>120</v>
      </c>
      <c r="V10" s="22">
        <v>100</v>
      </c>
      <c r="W10" s="22">
        <v>100</v>
      </c>
      <c r="X10" s="22">
        <v>100</v>
      </c>
      <c r="Y10" s="23">
        <v>4</v>
      </c>
    </row>
    <row r="11" spans="1:25" x14ac:dyDescent="0.3">
      <c r="A11" s="21">
        <v>5</v>
      </c>
      <c r="B11" s="21" t="s">
        <v>24</v>
      </c>
      <c r="C11" s="21" t="s">
        <v>20</v>
      </c>
      <c r="D11" s="22">
        <v>1450</v>
      </c>
      <c r="E11" s="22">
        <v>1487.07</v>
      </c>
      <c r="F11" s="22">
        <v>1550</v>
      </c>
      <c r="G11" s="22">
        <v>1450</v>
      </c>
      <c r="H11" s="22">
        <v>1486.28</v>
      </c>
      <c r="I11" s="22">
        <v>1550</v>
      </c>
      <c r="J11" s="22">
        <v>1200</v>
      </c>
      <c r="K11" s="22">
        <v>1200</v>
      </c>
      <c r="L11" s="22">
        <v>1200</v>
      </c>
      <c r="M11" s="22">
        <v>1300</v>
      </c>
      <c r="N11" s="22">
        <v>1300</v>
      </c>
      <c r="O11" s="22">
        <v>1300</v>
      </c>
      <c r="P11" s="22">
        <v>1100</v>
      </c>
      <c r="Q11" s="22">
        <v>1231.32</v>
      </c>
      <c r="R11" s="22">
        <v>1300</v>
      </c>
      <c r="S11" s="22">
        <v>1200</v>
      </c>
      <c r="T11" s="22">
        <v>1329.88</v>
      </c>
      <c r="U11" s="22">
        <v>1400</v>
      </c>
      <c r="V11" s="22">
        <v>1150</v>
      </c>
      <c r="W11" s="22">
        <v>1166.43</v>
      </c>
      <c r="X11" s="22">
        <v>1200</v>
      </c>
      <c r="Y11" s="23">
        <v>5</v>
      </c>
    </row>
    <row r="12" spans="1:25" x14ac:dyDescent="0.3">
      <c r="A12" s="21">
        <v>6</v>
      </c>
      <c r="B12" s="21" t="s">
        <v>25</v>
      </c>
      <c r="C12" s="21" t="s">
        <v>20</v>
      </c>
      <c r="D12" s="22">
        <v>2800</v>
      </c>
      <c r="E12" s="22">
        <v>2837.27</v>
      </c>
      <c r="F12" s="22">
        <v>2900</v>
      </c>
      <c r="G12" s="22">
        <v>2700</v>
      </c>
      <c r="H12" s="22">
        <v>2786.4</v>
      </c>
      <c r="I12" s="22">
        <v>2850</v>
      </c>
      <c r="J12" s="22">
        <v>2600</v>
      </c>
      <c r="K12" s="22">
        <v>2600</v>
      </c>
      <c r="L12" s="22">
        <v>2600</v>
      </c>
      <c r="M12" s="22">
        <v>2500</v>
      </c>
      <c r="N12" s="22">
        <v>2500</v>
      </c>
      <c r="O12" s="22">
        <v>2500</v>
      </c>
      <c r="P12" s="22">
        <v>2900</v>
      </c>
      <c r="Q12" s="22">
        <v>2928.23</v>
      </c>
      <c r="R12" s="22">
        <v>3000</v>
      </c>
      <c r="S12" s="22">
        <v>2200</v>
      </c>
      <c r="T12" s="22">
        <v>2331.39</v>
      </c>
      <c r="U12" s="22">
        <v>2400</v>
      </c>
      <c r="V12" s="22">
        <v>2150</v>
      </c>
      <c r="W12" s="22">
        <v>2183.21</v>
      </c>
      <c r="X12" s="22">
        <v>2200</v>
      </c>
      <c r="Y12" s="23">
        <v>6</v>
      </c>
    </row>
    <row r="13" spans="1:25" x14ac:dyDescent="0.3">
      <c r="A13" s="21">
        <v>7</v>
      </c>
      <c r="B13" s="21" t="s">
        <v>26</v>
      </c>
      <c r="C13" s="21" t="s">
        <v>20</v>
      </c>
      <c r="D13" s="22">
        <v>375</v>
      </c>
      <c r="E13" s="22">
        <v>388.11</v>
      </c>
      <c r="F13" s="22">
        <v>410</v>
      </c>
      <c r="G13" s="22">
        <v>390</v>
      </c>
      <c r="H13" s="22">
        <v>397.28</v>
      </c>
      <c r="I13" s="22">
        <v>410</v>
      </c>
      <c r="J13" s="22">
        <v>358</v>
      </c>
      <c r="K13" s="22">
        <v>358</v>
      </c>
      <c r="L13" s="22">
        <v>358</v>
      </c>
      <c r="M13" s="22">
        <v>358</v>
      </c>
      <c r="N13" s="22">
        <v>358</v>
      </c>
      <c r="O13" s="22">
        <v>358</v>
      </c>
      <c r="P13" s="22">
        <v>353</v>
      </c>
      <c r="Q13" s="22">
        <v>353</v>
      </c>
      <c r="R13" s="22">
        <v>353</v>
      </c>
      <c r="S13" s="22">
        <v>390</v>
      </c>
      <c r="T13" s="22">
        <v>390</v>
      </c>
      <c r="U13" s="22">
        <v>390</v>
      </c>
      <c r="V13" s="22">
        <v>380</v>
      </c>
      <c r="W13" s="22">
        <v>383.3</v>
      </c>
      <c r="X13" s="22">
        <v>390</v>
      </c>
      <c r="Y13" s="23">
        <v>7</v>
      </c>
    </row>
    <row r="14" spans="1:25" x14ac:dyDescent="0.3">
      <c r="A14" s="21">
        <v>8</v>
      </c>
      <c r="B14" s="21" t="s">
        <v>27</v>
      </c>
      <c r="C14" s="21" t="s">
        <v>28</v>
      </c>
      <c r="D14" s="22">
        <v>240</v>
      </c>
      <c r="E14" s="22">
        <v>249.88</v>
      </c>
      <c r="F14" s="22">
        <v>260</v>
      </c>
      <c r="G14" s="22">
        <v>220</v>
      </c>
      <c r="H14" s="22">
        <v>240.97</v>
      </c>
      <c r="I14" s="22">
        <v>260</v>
      </c>
      <c r="J14" s="22">
        <v>220</v>
      </c>
      <c r="K14" s="22">
        <v>220</v>
      </c>
      <c r="L14" s="22">
        <v>220</v>
      </c>
      <c r="M14" s="22">
        <v>180</v>
      </c>
      <c r="N14" s="22">
        <v>211.95</v>
      </c>
      <c r="O14" s="22">
        <v>230</v>
      </c>
      <c r="P14" s="22">
        <v>200</v>
      </c>
      <c r="Q14" s="22">
        <v>212.32</v>
      </c>
      <c r="R14" s="22">
        <v>220</v>
      </c>
      <c r="S14" s="22">
        <v>200</v>
      </c>
      <c r="T14" s="22">
        <v>206.46</v>
      </c>
      <c r="U14" s="22">
        <v>220</v>
      </c>
      <c r="V14" s="22">
        <v>170</v>
      </c>
      <c r="W14" s="22">
        <v>176.6</v>
      </c>
      <c r="X14" s="22">
        <v>180</v>
      </c>
      <c r="Y14" s="23">
        <v>8</v>
      </c>
    </row>
    <row r="15" spans="1:25" x14ac:dyDescent="0.3">
      <c r="A15" s="21">
        <v>9</v>
      </c>
      <c r="B15" s="21" t="s">
        <v>29</v>
      </c>
      <c r="C15" s="21" t="s">
        <v>20</v>
      </c>
      <c r="D15" s="22">
        <v>260</v>
      </c>
      <c r="E15" s="22">
        <v>272.37</v>
      </c>
      <c r="F15" s="22">
        <v>280</v>
      </c>
      <c r="G15" s="22">
        <v>240</v>
      </c>
      <c r="H15" s="22">
        <v>266.39999999999998</v>
      </c>
      <c r="I15" s="22">
        <v>280</v>
      </c>
      <c r="J15" s="22">
        <v>240</v>
      </c>
      <c r="K15" s="22">
        <v>240</v>
      </c>
      <c r="L15" s="22">
        <v>240</v>
      </c>
      <c r="M15" s="22">
        <v>190</v>
      </c>
      <c r="N15" s="22">
        <v>218.89</v>
      </c>
      <c r="O15" s="22">
        <v>240</v>
      </c>
      <c r="P15" s="22">
        <v>240</v>
      </c>
      <c r="Q15" s="22">
        <v>252.8</v>
      </c>
      <c r="R15" s="22">
        <v>260</v>
      </c>
      <c r="S15" s="22">
        <v>240</v>
      </c>
      <c r="T15" s="22">
        <v>240</v>
      </c>
      <c r="U15" s="22">
        <v>240</v>
      </c>
      <c r="V15" s="22">
        <v>220</v>
      </c>
      <c r="W15" s="22">
        <v>223.28</v>
      </c>
      <c r="X15" s="22">
        <v>230</v>
      </c>
      <c r="Y15" s="23">
        <v>9</v>
      </c>
    </row>
    <row r="16" spans="1:25" x14ac:dyDescent="0.3">
      <c r="A16" s="21">
        <v>10</v>
      </c>
      <c r="B16" s="21" t="s">
        <v>30</v>
      </c>
      <c r="C16" s="21" t="s">
        <v>23</v>
      </c>
      <c r="D16" s="22">
        <v>1160</v>
      </c>
      <c r="E16" s="22">
        <v>1180.77</v>
      </c>
      <c r="F16" s="22">
        <v>1200</v>
      </c>
      <c r="G16" s="22">
        <v>1160</v>
      </c>
      <c r="H16" s="22">
        <v>1176.6300000000001</v>
      </c>
      <c r="I16" s="22">
        <v>1200</v>
      </c>
      <c r="J16" s="22">
        <v>1160</v>
      </c>
      <c r="K16" s="22">
        <v>1163.32</v>
      </c>
      <c r="L16" s="22">
        <v>1170</v>
      </c>
      <c r="M16" s="22">
        <v>1200</v>
      </c>
      <c r="N16" s="22">
        <v>1200</v>
      </c>
      <c r="O16" s="22">
        <v>1200</v>
      </c>
      <c r="P16" s="22">
        <v>1170</v>
      </c>
      <c r="Q16" s="22">
        <v>1170</v>
      </c>
      <c r="R16" s="22">
        <v>1170</v>
      </c>
      <c r="S16" s="22">
        <v>1170</v>
      </c>
      <c r="T16" s="22">
        <v>1170</v>
      </c>
      <c r="U16" s="22">
        <v>1170</v>
      </c>
      <c r="V16" s="22">
        <v>1150</v>
      </c>
      <c r="W16" s="22">
        <v>1153.32</v>
      </c>
      <c r="X16" s="22">
        <v>1160</v>
      </c>
      <c r="Y16" s="23">
        <v>10</v>
      </c>
    </row>
    <row r="17" spans="1:25" x14ac:dyDescent="0.3">
      <c r="A17" s="21">
        <v>11</v>
      </c>
      <c r="B17" s="21" t="s">
        <v>31</v>
      </c>
      <c r="C17" s="21" t="s">
        <v>32</v>
      </c>
      <c r="D17" s="22">
        <v>258</v>
      </c>
      <c r="E17" s="22">
        <v>265.17</v>
      </c>
      <c r="F17" s="22">
        <v>280</v>
      </c>
      <c r="G17" s="22">
        <v>258</v>
      </c>
      <c r="H17" s="22">
        <v>264.45999999999998</v>
      </c>
      <c r="I17" s="22">
        <v>280</v>
      </c>
      <c r="J17" s="22">
        <v>270</v>
      </c>
      <c r="K17" s="22">
        <v>270</v>
      </c>
      <c r="L17" s="22">
        <v>270</v>
      </c>
      <c r="M17" s="22">
        <v>270</v>
      </c>
      <c r="N17" s="22">
        <v>270</v>
      </c>
      <c r="O17" s="22">
        <v>270</v>
      </c>
      <c r="P17" s="22">
        <v>257</v>
      </c>
      <c r="Q17" s="22">
        <v>257</v>
      </c>
      <c r="R17" s="22">
        <v>257</v>
      </c>
      <c r="S17" s="22">
        <v>257</v>
      </c>
      <c r="T17" s="22">
        <v>257</v>
      </c>
      <c r="U17" s="22">
        <v>257</v>
      </c>
      <c r="V17" s="22">
        <v>257</v>
      </c>
      <c r="W17" s="22">
        <v>257</v>
      </c>
      <c r="X17" s="22">
        <v>257</v>
      </c>
      <c r="Y17" s="23">
        <v>11</v>
      </c>
    </row>
    <row r="18" spans="1:25" x14ac:dyDescent="0.3">
      <c r="A18" s="21">
        <v>12</v>
      </c>
      <c r="B18" s="21" t="s">
        <v>33</v>
      </c>
      <c r="C18" s="21" t="s">
        <v>20</v>
      </c>
      <c r="D18" s="22">
        <v>660</v>
      </c>
      <c r="E18" s="22">
        <v>686.46</v>
      </c>
      <c r="F18" s="22">
        <v>720</v>
      </c>
      <c r="G18" s="22">
        <v>650</v>
      </c>
      <c r="H18" s="22">
        <v>659.3</v>
      </c>
      <c r="I18" s="22">
        <v>670</v>
      </c>
      <c r="J18" s="22">
        <v>500</v>
      </c>
      <c r="K18" s="22">
        <v>500</v>
      </c>
      <c r="L18" s="22">
        <v>500</v>
      </c>
      <c r="M18" s="22">
        <v>550</v>
      </c>
      <c r="N18" s="22">
        <v>550</v>
      </c>
      <c r="O18" s="22">
        <v>550</v>
      </c>
      <c r="P18" s="22">
        <v>540</v>
      </c>
      <c r="Q18" s="22">
        <v>556.61</v>
      </c>
      <c r="R18" s="22">
        <v>570</v>
      </c>
      <c r="S18" s="22">
        <v>560</v>
      </c>
      <c r="T18" s="22">
        <v>560</v>
      </c>
      <c r="U18" s="22">
        <v>560</v>
      </c>
      <c r="V18" s="22">
        <v>480</v>
      </c>
      <c r="W18" s="22">
        <v>493.24</v>
      </c>
      <c r="X18" s="22">
        <v>500</v>
      </c>
      <c r="Y18" s="23">
        <v>12</v>
      </c>
    </row>
    <row r="19" spans="1:25" x14ac:dyDescent="0.3">
      <c r="A19" s="21">
        <v>13</v>
      </c>
      <c r="B19" s="21" t="s">
        <v>34</v>
      </c>
      <c r="C19" s="21" t="s">
        <v>23</v>
      </c>
      <c r="D19" s="22">
        <v>3090</v>
      </c>
      <c r="E19" s="22">
        <v>3090</v>
      </c>
      <c r="F19" s="22">
        <v>3090</v>
      </c>
      <c r="G19" s="22">
        <v>3090</v>
      </c>
      <c r="H19" s="22">
        <v>3090</v>
      </c>
      <c r="I19" s="22">
        <v>3090</v>
      </c>
      <c r="J19" s="22">
        <v>3090</v>
      </c>
      <c r="K19" s="22">
        <v>3090</v>
      </c>
      <c r="L19" s="22">
        <v>3090</v>
      </c>
      <c r="M19" s="22">
        <v>3065</v>
      </c>
      <c r="N19" s="22">
        <v>3065</v>
      </c>
      <c r="O19" s="22">
        <v>3065</v>
      </c>
      <c r="P19" s="22">
        <v>3065</v>
      </c>
      <c r="Q19" s="22">
        <v>3065</v>
      </c>
      <c r="R19" s="22">
        <v>3065</v>
      </c>
      <c r="S19" s="22">
        <v>3065</v>
      </c>
      <c r="T19" s="22">
        <v>3065</v>
      </c>
      <c r="U19" s="22">
        <v>3065</v>
      </c>
      <c r="V19" s="22">
        <v>3065</v>
      </c>
      <c r="W19" s="22">
        <v>3065</v>
      </c>
      <c r="X19" s="22">
        <v>3065</v>
      </c>
      <c r="Y19" s="23">
        <v>13</v>
      </c>
    </row>
    <row r="20" spans="1:25" x14ac:dyDescent="0.3">
      <c r="A20" s="21">
        <v>14</v>
      </c>
      <c r="B20" s="21" t="s">
        <v>35</v>
      </c>
      <c r="C20" s="21" t="s">
        <v>23</v>
      </c>
      <c r="D20" s="22">
        <v>1580</v>
      </c>
      <c r="E20" s="22">
        <v>1580</v>
      </c>
      <c r="F20" s="22">
        <v>1580</v>
      </c>
      <c r="G20" s="22">
        <v>1580</v>
      </c>
      <c r="H20" s="22">
        <v>1580</v>
      </c>
      <c r="I20" s="22">
        <v>1580</v>
      </c>
      <c r="J20" s="22">
        <v>1565</v>
      </c>
      <c r="K20" s="22">
        <v>1565</v>
      </c>
      <c r="L20" s="22">
        <v>1565</v>
      </c>
      <c r="M20" s="22">
        <v>1540</v>
      </c>
      <c r="N20" s="22">
        <v>1540</v>
      </c>
      <c r="O20" s="22">
        <v>1540</v>
      </c>
      <c r="P20" s="22">
        <v>1540</v>
      </c>
      <c r="Q20" s="22">
        <v>1561.4</v>
      </c>
      <c r="R20" s="22">
        <v>1565</v>
      </c>
      <c r="S20" s="22">
        <v>1565</v>
      </c>
      <c r="T20" s="22">
        <v>1565</v>
      </c>
      <c r="U20" s="22">
        <v>1565</v>
      </c>
      <c r="V20" s="22">
        <v>1565</v>
      </c>
      <c r="W20" s="22">
        <v>1565</v>
      </c>
      <c r="X20" s="22">
        <v>1565</v>
      </c>
      <c r="Y20" s="23">
        <v>14</v>
      </c>
    </row>
    <row r="21" spans="1:25" x14ac:dyDescent="0.3">
      <c r="A21" s="21">
        <v>15</v>
      </c>
      <c r="B21" s="21" t="s">
        <v>36</v>
      </c>
      <c r="C21" s="21" t="s">
        <v>23</v>
      </c>
      <c r="D21" s="22">
        <v>610</v>
      </c>
      <c r="E21" s="22">
        <v>610</v>
      </c>
      <c r="F21" s="22">
        <v>610</v>
      </c>
      <c r="G21" s="22">
        <v>610</v>
      </c>
      <c r="H21" s="22">
        <v>610</v>
      </c>
      <c r="I21" s="22">
        <v>610</v>
      </c>
      <c r="J21" s="22">
        <v>615</v>
      </c>
      <c r="K21" s="22">
        <v>615</v>
      </c>
      <c r="L21" s="22">
        <v>615</v>
      </c>
      <c r="M21" s="22">
        <v>610</v>
      </c>
      <c r="N21" s="22">
        <v>610</v>
      </c>
      <c r="O21" s="22">
        <v>610</v>
      </c>
      <c r="P21" s="22">
        <v>610</v>
      </c>
      <c r="Q21" s="22">
        <v>610</v>
      </c>
      <c r="R21" s="22">
        <v>610</v>
      </c>
      <c r="S21" s="22">
        <v>610</v>
      </c>
      <c r="T21" s="22">
        <v>610</v>
      </c>
      <c r="U21" s="22">
        <v>610</v>
      </c>
      <c r="V21" s="22">
        <v>615</v>
      </c>
      <c r="W21" s="22">
        <v>615</v>
      </c>
      <c r="X21" s="22">
        <v>615</v>
      </c>
      <c r="Y21" s="23">
        <v>15</v>
      </c>
    </row>
    <row r="22" spans="1:25" x14ac:dyDescent="0.3">
      <c r="A22" s="21">
        <v>16</v>
      </c>
      <c r="B22" s="21" t="s">
        <v>37</v>
      </c>
      <c r="C22" s="21" t="s">
        <v>32</v>
      </c>
      <c r="D22" s="22">
        <v>230</v>
      </c>
      <c r="E22" s="22">
        <v>268.19</v>
      </c>
      <c r="F22" s="22">
        <v>300</v>
      </c>
      <c r="G22" s="22">
        <v>230</v>
      </c>
      <c r="H22" s="22">
        <v>249.36</v>
      </c>
      <c r="I22" s="22">
        <v>290</v>
      </c>
      <c r="J22" s="22">
        <v>200</v>
      </c>
      <c r="K22" s="22">
        <v>200</v>
      </c>
      <c r="L22" s="22">
        <v>200</v>
      </c>
      <c r="M22" s="22">
        <v>200</v>
      </c>
      <c r="N22" s="22">
        <v>215.44</v>
      </c>
      <c r="O22" s="22">
        <v>250</v>
      </c>
      <c r="P22" s="22">
        <v>200</v>
      </c>
      <c r="Q22" s="22">
        <v>219.61</v>
      </c>
      <c r="R22" s="22">
        <v>240</v>
      </c>
      <c r="S22" s="22">
        <v>200</v>
      </c>
      <c r="T22" s="22">
        <v>200</v>
      </c>
      <c r="U22" s="22">
        <v>200</v>
      </c>
      <c r="V22" s="22">
        <v>180</v>
      </c>
      <c r="W22" s="22">
        <v>186.43</v>
      </c>
      <c r="X22" s="22">
        <v>200</v>
      </c>
      <c r="Y22" s="23">
        <v>16</v>
      </c>
    </row>
    <row r="23" spans="1:25" x14ac:dyDescent="0.3">
      <c r="A23" s="21">
        <v>17</v>
      </c>
      <c r="B23" s="21" t="s">
        <v>38</v>
      </c>
      <c r="C23" s="21" t="s">
        <v>20</v>
      </c>
      <c r="D23" s="22">
        <v>270</v>
      </c>
      <c r="E23" s="22">
        <v>293.87</v>
      </c>
      <c r="F23" s="22">
        <v>310</v>
      </c>
      <c r="G23" s="22">
        <v>280</v>
      </c>
      <c r="H23" s="22">
        <v>293.87</v>
      </c>
      <c r="I23" s="22">
        <v>310</v>
      </c>
      <c r="J23" s="22">
        <v>220</v>
      </c>
      <c r="K23" s="22">
        <v>220</v>
      </c>
      <c r="L23" s="22">
        <v>220</v>
      </c>
      <c r="M23" s="22">
        <v>240</v>
      </c>
      <c r="N23" s="22">
        <v>240</v>
      </c>
      <c r="O23" s="22">
        <v>240</v>
      </c>
      <c r="P23" s="22">
        <v>230</v>
      </c>
      <c r="Q23" s="22">
        <v>235.19</v>
      </c>
      <c r="R23" s="22">
        <v>240</v>
      </c>
      <c r="S23" s="22">
        <v>230</v>
      </c>
      <c r="T23" s="22">
        <v>249.1</v>
      </c>
      <c r="U23" s="22">
        <v>280</v>
      </c>
      <c r="V23" s="22">
        <v>250</v>
      </c>
      <c r="W23" s="22">
        <v>253.29</v>
      </c>
      <c r="X23" s="22">
        <v>260</v>
      </c>
      <c r="Y23" s="23">
        <v>17</v>
      </c>
    </row>
    <row r="24" spans="1:25" x14ac:dyDescent="0.3">
      <c r="A24" s="21">
        <v>18</v>
      </c>
      <c r="B24" s="21" t="s">
        <v>39</v>
      </c>
      <c r="C24" s="21" t="s">
        <v>20</v>
      </c>
      <c r="D24" s="22">
        <v>360</v>
      </c>
      <c r="E24" s="22">
        <v>399.29</v>
      </c>
      <c r="F24" s="22">
        <v>440</v>
      </c>
      <c r="G24" s="22">
        <v>360</v>
      </c>
      <c r="H24" s="22">
        <v>381.82</v>
      </c>
      <c r="I24" s="22">
        <v>400</v>
      </c>
      <c r="J24" s="22">
        <v>280</v>
      </c>
      <c r="K24" s="22">
        <v>280</v>
      </c>
      <c r="L24" s="22">
        <v>280</v>
      </c>
      <c r="M24" s="22">
        <v>370</v>
      </c>
      <c r="N24" s="22">
        <v>370</v>
      </c>
      <c r="O24" s="22">
        <v>370</v>
      </c>
      <c r="P24" s="22">
        <v>340</v>
      </c>
      <c r="Q24" s="22">
        <v>347.57</v>
      </c>
      <c r="R24" s="22">
        <v>360</v>
      </c>
      <c r="S24" s="22">
        <v>340</v>
      </c>
      <c r="T24" s="22">
        <v>346.54</v>
      </c>
      <c r="U24" s="22">
        <v>360</v>
      </c>
      <c r="V24" s="22">
        <v>320</v>
      </c>
      <c r="W24" s="22">
        <v>323.3</v>
      </c>
      <c r="X24" s="22">
        <v>330</v>
      </c>
      <c r="Y24" s="23">
        <v>18</v>
      </c>
    </row>
    <row r="25" spans="1:25" x14ac:dyDescent="0.3">
      <c r="A25" s="21">
        <v>19</v>
      </c>
      <c r="B25" s="21" t="s">
        <v>40</v>
      </c>
      <c r="C25" s="21" t="s">
        <v>20</v>
      </c>
      <c r="D25" s="22">
        <v>480</v>
      </c>
      <c r="E25" s="22">
        <v>512.99</v>
      </c>
      <c r="F25" s="22">
        <v>540</v>
      </c>
      <c r="G25" s="22">
        <v>480</v>
      </c>
      <c r="H25" s="22">
        <v>493.88</v>
      </c>
      <c r="I25" s="22">
        <v>520</v>
      </c>
      <c r="J25" s="22">
        <v>420</v>
      </c>
      <c r="K25" s="22">
        <v>426.64</v>
      </c>
      <c r="L25" s="22">
        <v>430</v>
      </c>
      <c r="M25" s="22">
        <v>450</v>
      </c>
      <c r="N25" s="22">
        <v>450</v>
      </c>
      <c r="O25" s="22">
        <v>450</v>
      </c>
      <c r="P25" s="22">
        <v>450</v>
      </c>
      <c r="Q25" s="22">
        <v>473.71</v>
      </c>
      <c r="R25" s="22">
        <v>490</v>
      </c>
      <c r="S25" s="22">
        <v>400</v>
      </c>
      <c r="T25" s="22">
        <v>426.24</v>
      </c>
      <c r="U25" s="22">
        <v>440</v>
      </c>
      <c r="V25" s="22">
        <v>470</v>
      </c>
      <c r="W25" s="22">
        <v>473.31</v>
      </c>
      <c r="X25" s="22">
        <v>480</v>
      </c>
      <c r="Y25" s="23">
        <v>19</v>
      </c>
    </row>
    <row r="26" spans="1:25" x14ac:dyDescent="0.3">
      <c r="A26" s="21">
        <v>20</v>
      </c>
      <c r="B26" s="21" t="s">
        <v>41</v>
      </c>
      <c r="C26" s="21" t="s">
        <v>20</v>
      </c>
      <c r="D26" s="22">
        <v>260</v>
      </c>
      <c r="E26" s="22">
        <v>282.77999999999997</v>
      </c>
      <c r="F26" s="22">
        <v>320</v>
      </c>
      <c r="G26" s="22">
        <v>260</v>
      </c>
      <c r="H26" s="22">
        <v>279.81</v>
      </c>
      <c r="I26" s="22">
        <v>300</v>
      </c>
      <c r="J26" s="22">
        <v>220</v>
      </c>
      <c r="K26" s="22">
        <v>220</v>
      </c>
      <c r="L26" s="22">
        <v>220</v>
      </c>
      <c r="M26" s="22">
        <v>220</v>
      </c>
      <c r="N26" s="22">
        <v>220</v>
      </c>
      <c r="O26" s="22">
        <v>220</v>
      </c>
      <c r="P26" s="22">
        <v>230</v>
      </c>
      <c r="Q26" s="22">
        <v>233.53</v>
      </c>
      <c r="R26" s="22">
        <v>240</v>
      </c>
      <c r="S26" s="22">
        <v>210</v>
      </c>
      <c r="T26" s="22">
        <v>216.47</v>
      </c>
      <c r="U26" s="22">
        <v>230</v>
      </c>
      <c r="V26" s="22">
        <v>240</v>
      </c>
      <c r="W26" s="22">
        <v>243.29</v>
      </c>
      <c r="X26" s="22">
        <v>250</v>
      </c>
      <c r="Y26" s="23">
        <v>20</v>
      </c>
    </row>
    <row r="27" spans="1:25" x14ac:dyDescent="0.3">
      <c r="A27" s="21">
        <v>21</v>
      </c>
      <c r="B27" s="21" t="s">
        <v>42</v>
      </c>
      <c r="C27" s="21" t="s">
        <v>20</v>
      </c>
      <c r="D27" s="22">
        <v>70</v>
      </c>
      <c r="E27" s="22">
        <v>79.69</v>
      </c>
      <c r="F27" s="22">
        <v>90</v>
      </c>
      <c r="G27" s="22">
        <v>50</v>
      </c>
      <c r="H27" s="22">
        <v>64.680000000000007</v>
      </c>
      <c r="I27" s="22">
        <v>80</v>
      </c>
      <c r="J27" s="22">
        <v>60</v>
      </c>
      <c r="K27" s="22">
        <v>60</v>
      </c>
      <c r="L27" s="22">
        <v>60</v>
      </c>
      <c r="M27" s="22">
        <v>65</v>
      </c>
      <c r="N27" s="22">
        <v>65</v>
      </c>
      <c r="O27" s="22">
        <v>65</v>
      </c>
      <c r="P27" s="22">
        <v>50</v>
      </c>
      <c r="Q27" s="22">
        <v>56.9</v>
      </c>
      <c r="R27" s="22">
        <v>70</v>
      </c>
      <c r="S27" s="22">
        <v>60</v>
      </c>
      <c r="T27" s="22">
        <v>60</v>
      </c>
      <c r="U27" s="22">
        <v>60</v>
      </c>
      <c r="V27" s="22">
        <v>50</v>
      </c>
      <c r="W27" s="22">
        <v>60.82</v>
      </c>
      <c r="X27" s="22">
        <v>90</v>
      </c>
      <c r="Y27" s="23">
        <v>21</v>
      </c>
    </row>
    <row r="28" spans="1:25" x14ac:dyDescent="0.3">
      <c r="A28" s="21">
        <v>22</v>
      </c>
      <c r="B28" s="21" t="s">
        <v>43</v>
      </c>
      <c r="C28" s="21" t="s">
        <v>20</v>
      </c>
      <c r="D28" s="22">
        <v>110</v>
      </c>
      <c r="E28" s="22">
        <v>130.30000000000001</v>
      </c>
      <c r="F28" s="22">
        <v>150</v>
      </c>
      <c r="G28" s="22">
        <v>104</v>
      </c>
      <c r="H28" s="22">
        <v>125.53</v>
      </c>
      <c r="I28" s="22">
        <v>150</v>
      </c>
      <c r="J28" s="22">
        <v>100</v>
      </c>
      <c r="K28" s="22">
        <v>100</v>
      </c>
      <c r="L28" s="22">
        <v>100</v>
      </c>
      <c r="M28" s="22">
        <v>100</v>
      </c>
      <c r="N28" s="22">
        <v>103.23</v>
      </c>
      <c r="O28" s="22">
        <v>110</v>
      </c>
      <c r="P28" s="22">
        <v>100</v>
      </c>
      <c r="Q28" s="22">
        <v>109.63</v>
      </c>
      <c r="R28" s="22">
        <v>120</v>
      </c>
      <c r="S28" s="22">
        <v>100</v>
      </c>
      <c r="T28" s="22">
        <v>100</v>
      </c>
      <c r="U28" s="22">
        <v>100</v>
      </c>
      <c r="V28" s="22">
        <v>90</v>
      </c>
      <c r="W28" s="22">
        <v>93.22</v>
      </c>
      <c r="X28" s="22">
        <v>100</v>
      </c>
      <c r="Y28" s="23">
        <v>22</v>
      </c>
    </row>
    <row r="29" spans="1:25" x14ac:dyDescent="0.3">
      <c r="A29" s="21">
        <v>23</v>
      </c>
      <c r="B29" s="21" t="s">
        <v>44</v>
      </c>
      <c r="C29" s="21" t="s">
        <v>20</v>
      </c>
      <c r="D29" s="22">
        <v>400</v>
      </c>
      <c r="E29" s="22">
        <v>429.41</v>
      </c>
      <c r="F29" s="22">
        <v>480</v>
      </c>
      <c r="G29" s="22">
        <v>398</v>
      </c>
      <c r="H29" s="22">
        <v>434.59</v>
      </c>
      <c r="I29" s="22">
        <v>480</v>
      </c>
      <c r="J29" s="22">
        <v>420</v>
      </c>
      <c r="K29" s="22">
        <v>420</v>
      </c>
      <c r="L29" s="22">
        <v>420</v>
      </c>
      <c r="M29" s="22">
        <v>400</v>
      </c>
      <c r="N29" s="22">
        <v>400</v>
      </c>
      <c r="O29" s="22">
        <v>400</v>
      </c>
      <c r="P29" s="22">
        <v>380</v>
      </c>
      <c r="Q29" s="22">
        <v>400.28</v>
      </c>
      <c r="R29" s="22">
        <v>420</v>
      </c>
      <c r="S29" s="22">
        <v>350</v>
      </c>
      <c r="T29" s="22">
        <v>350</v>
      </c>
      <c r="U29" s="22">
        <v>350</v>
      </c>
      <c r="V29" s="22">
        <v>380</v>
      </c>
      <c r="W29" s="22">
        <v>393.22</v>
      </c>
      <c r="X29" s="22">
        <v>400</v>
      </c>
      <c r="Y29" s="23">
        <v>23</v>
      </c>
    </row>
    <row r="30" spans="1:25" x14ac:dyDescent="0.3">
      <c r="A30" s="21">
        <v>24</v>
      </c>
      <c r="B30" s="21" t="s">
        <v>45</v>
      </c>
      <c r="C30" s="21" t="s">
        <v>20</v>
      </c>
      <c r="D30" s="22">
        <v>150</v>
      </c>
      <c r="E30" s="22">
        <v>150</v>
      </c>
      <c r="F30" s="22">
        <v>150</v>
      </c>
      <c r="G30" s="22">
        <v>150</v>
      </c>
      <c r="H30" s="22">
        <v>150</v>
      </c>
      <c r="I30" s="22">
        <v>150</v>
      </c>
      <c r="J30" s="22">
        <v>150</v>
      </c>
      <c r="K30" s="22">
        <v>150</v>
      </c>
      <c r="L30" s="22">
        <v>150</v>
      </c>
      <c r="M30" s="22">
        <v>150</v>
      </c>
      <c r="N30" s="22">
        <v>150</v>
      </c>
      <c r="O30" s="22">
        <v>150</v>
      </c>
      <c r="P30" s="22">
        <v>150</v>
      </c>
      <c r="Q30" s="22">
        <v>150.47</v>
      </c>
      <c r="R30" s="22">
        <v>155</v>
      </c>
      <c r="S30" s="22">
        <v>150</v>
      </c>
      <c r="T30" s="22">
        <v>150</v>
      </c>
      <c r="U30" s="22">
        <v>150</v>
      </c>
      <c r="V30" s="22">
        <v>145</v>
      </c>
      <c r="W30" s="22">
        <v>145</v>
      </c>
      <c r="X30" s="22">
        <v>145</v>
      </c>
      <c r="Y30" s="23">
        <v>24</v>
      </c>
    </row>
    <row r="31" spans="1:25" x14ac:dyDescent="0.3">
      <c r="A31" s="21">
        <v>25</v>
      </c>
      <c r="B31" s="21" t="s">
        <v>46</v>
      </c>
      <c r="C31" s="21" t="s">
        <v>20</v>
      </c>
      <c r="D31" s="22">
        <v>250</v>
      </c>
      <c r="E31" s="22">
        <v>267.97000000000003</v>
      </c>
      <c r="F31" s="22">
        <v>290</v>
      </c>
      <c r="G31" s="22">
        <v>250</v>
      </c>
      <c r="H31" s="22">
        <v>255.93</v>
      </c>
      <c r="I31" s="22">
        <v>270</v>
      </c>
      <c r="J31" s="22">
        <v>220</v>
      </c>
      <c r="K31" s="22">
        <v>220</v>
      </c>
      <c r="L31" s="22">
        <v>220</v>
      </c>
      <c r="M31" s="22">
        <v>210</v>
      </c>
      <c r="N31" s="22">
        <v>210</v>
      </c>
      <c r="O31" s="22">
        <v>210</v>
      </c>
      <c r="P31" s="22">
        <v>230</v>
      </c>
      <c r="Q31" s="22">
        <v>238.02</v>
      </c>
      <c r="R31" s="22">
        <v>250</v>
      </c>
      <c r="S31" s="22">
        <v>200</v>
      </c>
      <c r="T31" s="22">
        <v>213.12</v>
      </c>
      <c r="U31" s="22">
        <v>220</v>
      </c>
      <c r="V31" s="22">
        <v>220</v>
      </c>
      <c r="W31" s="22">
        <v>221.65</v>
      </c>
      <c r="X31" s="22">
        <v>225</v>
      </c>
      <c r="Y31" s="23">
        <v>25</v>
      </c>
    </row>
    <row r="32" spans="1:25" x14ac:dyDescent="0.3">
      <c r="A32" s="21">
        <v>26</v>
      </c>
      <c r="B32" s="21" t="s">
        <v>47</v>
      </c>
      <c r="C32" s="21" t="s">
        <v>23</v>
      </c>
      <c r="D32" s="22">
        <v>60</v>
      </c>
      <c r="E32" s="22">
        <v>60</v>
      </c>
      <c r="F32" s="22">
        <v>60</v>
      </c>
      <c r="G32" s="22">
        <v>60</v>
      </c>
      <c r="H32" s="22">
        <v>60</v>
      </c>
      <c r="I32" s="22">
        <v>60</v>
      </c>
      <c r="J32" s="22">
        <v>60</v>
      </c>
      <c r="K32" s="22">
        <v>60</v>
      </c>
      <c r="L32" s="22">
        <v>60</v>
      </c>
      <c r="M32" s="22">
        <v>70</v>
      </c>
      <c r="N32" s="22">
        <v>70</v>
      </c>
      <c r="O32" s="22">
        <v>70</v>
      </c>
      <c r="P32" s="22">
        <v>60</v>
      </c>
      <c r="Q32" s="22">
        <v>60</v>
      </c>
      <c r="R32" s="22">
        <v>60</v>
      </c>
      <c r="S32" s="22">
        <v>60</v>
      </c>
      <c r="T32" s="22">
        <v>60</v>
      </c>
      <c r="U32" s="22">
        <v>60</v>
      </c>
      <c r="V32" s="22">
        <v>60</v>
      </c>
      <c r="W32" s="22">
        <v>60</v>
      </c>
      <c r="X32" s="22">
        <v>60</v>
      </c>
      <c r="Y32" s="23">
        <v>26</v>
      </c>
    </row>
    <row r="33" spans="1:25" x14ac:dyDescent="0.3">
      <c r="A33" s="21">
        <v>27</v>
      </c>
      <c r="B33" s="21" t="s">
        <v>48</v>
      </c>
      <c r="C33" s="21" t="s">
        <v>23</v>
      </c>
      <c r="D33" s="22">
        <v>380</v>
      </c>
      <c r="E33" s="22">
        <v>380</v>
      </c>
      <c r="F33" s="22">
        <v>380</v>
      </c>
      <c r="G33" s="22">
        <v>380</v>
      </c>
      <c r="H33" s="22">
        <v>380</v>
      </c>
      <c r="I33" s="22">
        <v>380</v>
      </c>
      <c r="J33" s="22">
        <v>380</v>
      </c>
      <c r="K33" s="22">
        <v>380</v>
      </c>
      <c r="L33" s="22">
        <v>380</v>
      </c>
      <c r="M33" s="22">
        <v>380</v>
      </c>
      <c r="N33" s="22">
        <v>380</v>
      </c>
      <c r="O33" s="22">
        <v>380</v>
      </c>
      <c r="P33" s="22">
        <v>380</v>
      </c>
      <c r="Q33" s="22">
        <v>380</v>
      </c>
      <c r="R33" s="22">
        <v>380</v>
      </c>
      <c r="S33" s="22">
        <v>380</v>
      </c>
      <c r="T33" s="22">
        <v>380</v>
      </c>
      <c r="U33" s="22">
        <v>380</v>
      </c>
      <c r="V33" s="22">
        <v>380</v>
      </c>
      <c r="W33" s="22">
        <v>380</v>
      </c>
      <c r="X33" s="22">
        <v>380</v>
      </c>
      <c r="Y33" s="23">
        <v>27</v>
      </c>
    </row>
    <row r="34" spans="1:25" x14ac:dyDescent="0.3">
      <c r="A34" s="21">
        <v>28</v>
      </c>
      <c r="B34" s="21" t="s">
        <v>49</v>
      </c>
      <c r="C34" s="21" t="s">
        <v>20</v>
      </c>
      <c r="D34" s="22">
        <v>280</v>
      </c>
      <c r="E34" s="22">
        <v>428.58</v>
      </c>
      <c r="F34" s="22">
        <v>600</v>
      </c>
      <c r="G34" s="22">
        <v>280</v>
      </c>
      <c r="H34" s="22">
        <v>409.95</v>
      </c>
      <c r="I34" s="22">
        <v>500</v>
      </c>
      <c r="J34" s="22">
        <v>350</v>
      </c>
      <c r="K34" s="22">
        <v>382.59</v>
      </c>
      <c r="L34" s="22">
        <v>400</v>
      </c>
      <c r="M34" s="22">
        <v>250</v>
      </c>
      <c r="N34" s="22">
        <v>306.88</v>
      </c>
      <c r="O34" s="22">
        <v>340</v>
      </c>
      <c r="P34" s="22">
        <v>250</v>
      </c>
      <c r="Q34" s="22">
        <v>351.35</v>
      </c>
      <c r="R34" s="22">
        <v>590</v>
      </c>
      <c r="S34" s="22">
        <v>300</v>
      </c>
      <c r="T34" s="22">
        <v>300</v>
      </c>
      <c r="U34" s="22">
        <v>300</v>
      </c>
      <c r="V34" s="22">
        <v>380</v>
      </c>
      <c r="W34" s="22">
        <v>386.55</v>
      </c>
      <c r="X34" s="22">
        <v>400</v>
      </c>
      <c r="Y34" s="23">
        <v>28</v>
      </c>
    </row>
    <row r="35" spans="1:25" x14ac:dyDescent="0.3">
      <c r="A35" s="21">
        <v>29</v>
      </c>
      <c r="B35" s="21" t="s">
        <v>50</v>
      </c>
      <c r="C35" s="21" t="s">
        <v>23</v>
      </c>
      <c r="D35" s="22">
        <v>469.41</v>
      </c>
      <c r="E35" s="22">
        <v>469.41</v>
      </c>
      <c r="F35" s="22">
        <v>469.41</v>
      </c>
      <c r="G35" s="22">
        <v>469.41</v>
      </c>
      <c r="H35" s="22">
        <v>469.41</v>
      </c>
      <c r="I35" s="22">
        <v>469.41</v>
      </c>
      <c r="J35" s="22">
        <v>469.41</v>
      </c>
      <c r="K35" s="22">
        <v>469.41</v>
      </c>
      <c r="L35" s="22">
        <v>469.41</v>
      </c>
      <c r="M35" s="22">
        <v>447.05</v>
      </c>
      <c r="N35" s="22">
        <v>447.05</v>
      </c>
      <c r="O35" s="22">
        <v>447.05</v>
      </c>
      <c r="P35" s="22">
        <v>469.4</v>
      </c>
      <c r="Q35" s="22">
        <v>469.41</v>
      </c>
      <c r="R35" s="22">
        <v>469.41</v>
      </c>
      <c r="S35" s="22">
        <v>447.5</v>
      </c>
      <c r="T35" s="22">
        <v>447.5</v>
      </c>
      <c r="U35" s="22">
        <v>447.5</v>
      </c>
      <c r="V35" s="22">
        <v>447</v>
      </c>
      <c r="W35" s="22">
        <v>447</v>
      </c>
      <c r="X35" s="22">
        <v>447</v>
      </c>
      <c r="Y35" s="23">
        <v>29</v>
      </c>
    </row>
    <row r="36" spans="1:25" x14ac:dyDescent="0.3">
      <c r="A36" s="21">
        <v>30</v>
      </c>
      <c r="B36" s="21" t="s">
        <v>51</v>
      </c>
      <c r="C36" s="21" t="s">
        <v>52</v>
      </c>
      <c r="D36" s="22">
        <v>350</v>
      </c>
      <c r="E36" s="22">
        <v>354.07</v>
      </c>
      <c r="F36" s="22">
        <v>380</v>
      </c>
      <c r="G36" s="22">
        <v>300</v>
      </c>
      <c r="H36" s="22">
        <v>334.26</v>
      </c>
      <c r="I36" s="22">
        <v>350</v>
      </c>
      <c r="J36" s="22">
        <v>450</v>
      </c>
      <c r="K36" s="22">
        <v>450</v>
      </c>
      <c r="L36" s="22">
        <v>450</v>
      </c>
      <c r="M36" s="22">
        <v>350</v>
      </c>
      <c r="N36" s="22">
        <v>350</v>
      </c>
      <c r="O36" s="22">
        <v>350</v>
      </c>
      <c r="P36" s="22">
        <v>300</v>
      </c>
      <c r="Q36" s="22">
        <v>317.94</v>
      </c>
      <c r="R36" s="22">
        <v>330</v>
      </c>
      <c r="S36" s="22">
        <v>300</v>
      </c>
      <c r="T36" s="22">
        <v>315.82</v>
      </c>
      <c r="U36" s="22">
        <v>350</v>
      </c>
      <c r="V36" s="22">
        <v>300</v>
      </c>
      <c r="W36" s="22">
        <v>300</v>
      </c>
      <c r="X36" s="22">
        <v>300</v>
      </c>
      <c r="Y36" s="23">
        <v>30</v>
      </c>
    </row>
    <row r="37" spans="1:25" x14ac:dyDescent="0.3">
      <c r="A37" s="21">
        <v>31</v>
      </c>
      <c r="B37" s="21" t="s">
        <v>53</v>
      </c>
      <c r="C37" s="21" t="s">
        <v>52</v>
      </c>
      <c r="D37" s="22">
        <v>220</v>
      </c>
      <c r="E37" s="22">
        <v>241.4</v>
      </c>
      <c r="F37" s="22">
        <v>260</v>
      </c>
      <c r="G37" s="22">
        <v>200</v>
      </c>
      <c r="H37" s="22">
        <v>220.86</v>
      </c>
      <c r="I37" s="22">
        <v>250</v>
      </c>
      <c r="J37" s="22">
        <v>150</v>
      </c>
      <c r="K37" s="22">
        <v>150</v>
      </c>
      <c r="L37" s="22">
        <v>150</v>
      </c>
      <c r="M37" s="22">
        <v>190</v>
      </c>
      <c r="N37" s="22">
        <v>190</v>
      </c>
      <c r="O37" s="22">
        <v>190</v>
      </c>
      <c r="P37" s="22">
        <v>180</v>
      </c>
      <c r="Q37" s="22">
        <v>194.15</v>
      </c>
      <c r="R37" s="22">
        <v>200</v>
      </c>
      <c r="S37" s="22">
        <v>180</v>
      </c>
      <c r="T37" s="22">
        <v>186.43</v>
      </c>
      <c r="U37" s="22">
        <v>200</v>
      </c>
      <c r="V37" s="22">
        <v>150</v>
      </c>
      <c r="W37" s="22">
        <v>150</v>
      </c>
      <c r="X37" s="22">
        <v>150</v>
      </c>
      <c r="Y37" s="23">
        <v>31</v>
      </c>
    </row>
    <row r="38" spans="1:25" x14ac:dyDescent="0.3">
      <c r="A38" s="21">
        <v>32</v>
      </c>
      <c r="B38" s="21" t="s">
        <v>54</v>
      </c>
      <c r="C38" s="21" t="s">
        <v>55</v>
      </c>
      <c r="D38" s="22">
        <v>70</v>
      </c>
      <c r="E38" s="22">
        <v>73.19</v>
      </c>
      <c r="F38" s="22">
        <v>80</v>
      </c>
      <c r="G38" s="22">
        <v>60</v>
      </c>
      <c r="H38" s="22">
        <v>69.900000000000006</v>
      </c>
      <c r="I38" s="22">
        <v>80</v>
      </c>
      <c r="J38" s="22">
        <v>70</v>
      </c>
      <c r="K38" s="22">
        <v>70</v>
      </c>
      <c r="L38" s="22">
        <v>70</v>
      </c>
      <c r="M38" s="22">
        <v>50</v>
      </c>
      <c r="N38" s="22">
        <v>50</v>
      </c>
      <c r="O38" s="22">
        <v>50</v>
      </c>
      <c r="P38" s="22">
        <v>70</v>
      </c>
      <c r="Q38" s="22">
        <v>71.349999999999994</v>
      </c>
      <c r="R38" s="22">
        <v>80</v>
      </c>
      <c r="S38" s="22">
        <v>60</v>
      </c>
      <c r="T38" s="22">
        <v>63.16</v>
      </c>
      <c r="U38" s="22">
        <v>70</v>
      </c>
      <c r="V38" s="22">
        <v>60</v>
      </c>
      <c r="W38" s="22">
        <v>66.489999999999995</v>
      </c>
      <c r="X38" s="22">
        <v>70</v>
      </c>
      <c r="Y38" s="23">
        <v>32</v>
      </c>
    </row>
    <row r="39" spans="1:25" x14ac:dyDescent="0.3">
      <c r="A39" s="21">
        <v>33</v>
      </c>
      <c r="B39" s="21" t="s">
        <v>56</v>
      </c>
      <c r="C39" s="21" t="s">
        <v>23</v>
      </c>
      <c r="D39" s="22">
        <v>250</v>
      </c>
      <c r="E39" s="22">
        <v>250</v>
      </c>
      <c r="F39" s="22">
        <v>250</v>
      </c>
      <c r="G39" s="22">
        <v>250</v>
      </c>
      <c r="H39" s="22">
        <v>250</v>
      </c>
      <c r="I39" s="22">
        <v>250</v>
      </c>
      <c r="J39" s="22">
        <v>250</v>
      </c>
      <c r="K39" s="22">
        <v>250</v>
      </c>
      <c r="L39" s="22">
        <v>250</v>
      </c>
      <c r="M39" s="22">
        <v>260</v>
      </c>
      <c r="N39" s="22">
        <v>260</v>
      </c>
      <c r="O39" s="22">
        <v>260</v>
      </c>
      <c r="P39" s="22">
        <v>270</v>
      </c>
      <c r="Q39" s="22">
        <v>270</v>
      </c>
      <c r="R39" s="22">
        <v>270</v>
      </c>
      <c r="S39" s="22">
        <v>250</v>
      </c>
      <c r="T39" s="22">
        <v>250</v>
      </c>
      <c r="U39" s="22">
        <v>250</v>
      </c>
      <c r="V39" s="22">
        <v>240</v>
      </c>
      <c r="W39" s="22">
        <v>240</v>
      </c>
      <c r="X39" s="22">
        <v>240</v>
      </c>
      <c r="Y39" s="23">
        <v>33</v>
      </c>
    </row>
    <row r="40" spans="1:25" x14ac:dyDescent="0.3">
      <c r="A40" s="21">
        <v>34</v>
      </c>
      <c r="B40" s="21" t="s">
        <v>57</v>
      </c>
      <c r="C40" s="21" t="s">
        <v>58</v>
      </c>
      <c r="D40" s="22">
        <v>750</v>
      </c>
      <c r="E40" s="22">
        <v>773.97</v>
      </c>
      <c r="F40" s="22">
        <v>800</v>
      </c>
      <c r="G40" s="22">
        <v>730</v>
      </c>
      <c r="H40" s="22">
        <v>774.35</v>
      </c>
      <c r="I40" s="22">
        <v>800</v>
      </c>
      <c r="J40" s="22">
        <v>700</v>
      </c>
      <c r="K40" s="22">
        <v>700</v>
      </c>
      <c r="L40" s="22">
        <v>700</v>
      </c>
      <c r="M40" s="22">
        <v>700</v>
      </c>
      <c r="N40" s="22">
        <v>700</v>
      </c>
      <c r="O40" s="22">
        <v>700</v>
      </c>
      <c r="P40" s="22">
        <v>850</v>
      </c>
      <c r="Q40" s="22">
        <v>850</v>
      </c>
      <c r="R40" s="22">
        <v>850</v>
      </c>
      <c r="S40" s="22">
        <v>650</v>
      </c>
      <c r="T40" s="22">
        <v>659.85</v>
      </c>
      <c r="U40" s="22">
        <v>680</v>
      </c>
      <c r="V40" s="22">
        <v>700</v>
      </c>
      <c r="W40" s="22">
        <v>700</v>
      </c>
      <c r="X40" s="22">
        <v>700</v>
      </c>
      <c r="Y40" s="23">
        <v>34</v>
      </c>
    </row>
    <row r="41" spans="1:25" x14ac:dyDescent="0.3">
      <c r="A41" s="21">
        <v>35</v>
      </c>
      <c r="B41" s="21" t="s">
        <v>59</v>
      </c>
      <c r="C41" s="21" t="s">
        <v>58</v>
      </c>
      <c r="D41" s="22">
        <v>680</v>
      </c>
      <c r="E41" s="22">
        <v>724.24</v>
      </c>
      <c r="F41" s="22">
        <v>770</v>
      </c>
      <c r="G41" s="22">
        <v>650</v>
      </c>
      <c r="H41" s="22">
        <v>691.63</v>
      </c>
      <c r="I41" s="22">
        <v>750</v>
      </c>
      <c r="J41" s="22">
        <v>600</v>
      </c>
      <c r="K41" s="22">
        <v>600</v>
      </c>
      <c r="L41" s="22">
        <v>600</v>
      </c>
      <c r="M41" s="22">
        <v>550</v>
      </c>
      <c r="N41" s="22">
        <v>550</v>
      </c>
      <c r="O41" s="22">
        <v>550</v>
      </c>
      <c r="P41" s="22">
        <v>430</v>
      </c>
      <c r="Q41" s="22">
        <v>464.01</v>
      </c>
      <c r="R41" s="22">
        <v>490</v>
      </c>
      <c r="S41" s="22">
        <v>850</v>
      </c>
      <c r="T41" s="22">
        <v>866.35</v>
      </c>
      <c r="U41" s="22">
        <v>900</v>
      </c>
      <c r="V41" s="22">
        <v>750</v>
      </c>
      <c r="W41" s="22">
        <v>750</v>
      </c>
      <c r="X41" s="22">
        <v>750</v>
      </c>
      <c r="Y41" s="23">
        <v>35</v>
      </c>
    </row>
    <row r="42" spans="1:25" x14ac:dyDescent="0.3">
      <c r="A42" s="21">
        <v>36</v>
      </c>
      <c r="B42" s="21" t="s">
        <v>60</v>
      </c>
      <c r="C42" s="21" t="s">
        <v>58</v>
      </c>
      <c r="D42" s="22">
        <v>630</v>
      </c>
      <c r="E42" s="22">
        <v>662.12</v>
      </c>
      <c r="F42" s="22">
        <v>700</v>
      </c>
      <c r="G42" s="22">
        <v>580</v>
      </c>
      <c r="H42" s="22">
        <v>634.78</v>
      </c>
      <c r="I42" s="22">
        <v>670</v>
      </c>
      <c r="J42" s="22">
        <v>748</v>
      </c>
      <c r="K42" s="22">
        <v>748</v>
      </c>
      <c r="L42" s="22">
        <v>748</v>
      </c>
      <c r="M42" s="22">
        <v>700</v>
      </c>
      <c r="N42" s="22">
        <v>700</v>
      </c>
      <c r="O42" s="22">
        <v>700</v>
      </c>
      <c r="P42" s="22">
        <v>805</v>
      </c>
      <c r="Q42" s="22">
        <v>830.51</v>
      </c>
      <c r="R42" s="22">
        <v>850</v>
      </c>
      <c r="S42" s="22">
        <v>650</v>
      </c>
      <c r="T42" s="22">
        <v>666.26</v>
      </c>
      <c r="U42" s="22">
        <v>700</v>
      </c>
      <c r="V42" s="22">
        <v>714</v>
      </c>
      <c r="W42" s="22">
        <v>714</v>
      </c>
      <c r="X42" s="22">
        <v>714</v>
      </c>
      <c r="Y42" s="23">
        <v>36</v>
      </c>
    </row>
    <row r="43" spans="1:25" x14ac:dyDescent="0.3">
      <c r="A43" s="21">
        <v>37</v>
      </c>
      <c r="B43" s="21" t="s">
        <v>61</v>
      </c>
      <c r="C43" s="21" t="s">
        <v>58</v>
      </c>
      <c r="D43" s="22">
        <v>400</v>
      </c>
      <c r="E43" s="22">
        <v>424.51</v>
      </c>
      <c r="F43" s="22">
        <v>490</v>
      </c>
      <c r="G43" s="22">
        <v>400</v>
      </c>
      <c r="H43" s="22">
        <v>422.27</v>
      </c>
      <c r="I43" s="22">
        <v>460</v>
      </c>
      <c r="J43" s="22">
        <v>250</v>
      </c>
      <c r="K43" s="22">
        <v>250</v>
      </c>
      <c r="L43" s="22">
        <v>250</v>
      </c>
      <c r="M43" s="22">
        <v>300</v>
      </c>
      <c r="N43" s="22">
        <v>300</v>
      </c>
      <c r="O43" s="22">
        <v>300</v>
      </c>
      <c r="P43" s="22">
        <v>400</v>
      </c>
      <c r="Q43" s="22">
        <v>424.98</v>
      </c>
      <c r="R43" s="22">
        <v>450</v>
      </c>
      <c r="S43" s="22">
        <v>350</v>
      </c>
      <c r="T43" s="22">
        <v>350</v>
      </c>
      <c r="U43" s="22">
        <v>350</v>
      </c>
      <c r="V43" s="22">
        <v>400</v>
      </c>
      <c r="W43" s="22">
        <v>400</v>
      </c>
      <c r="X43" s="22">
        <v>400</v>
      </c>
      <c r="Y43" s="23">
        <v>37</v>
      </c>
    </row>
    <row r="44" spans="1:25" x14ac:dyDescent="0.3">
      <c r="A44" s="21">
        <v>38</v>
      </c>
      <c r="B44" s="21" t="s">
        <v>62</v>
      </c>
      <c r="C44" s="21" t="s">
        <v>63</v>
      </c>
      <c r="D44" s="22">
        <v>2499</v>
      </c>
      <c r="E44" s="22">
        <v>2499</v>
      </c>
      <c r="F44" s="22">
        <v>2499</v>
      </c>
      <c r="G44" s="22">
        <v>2499</v>
      </c>
      <c r="H44" s="22">
        <v>2499</v>
      </c>
      <c r="I44" s="22">
        <v>2499</v>
      </c>
      <c r="J44" s="22">
        <v>2499</v>
      </c>
      <c r="K44" s="22">
        <v>2499</v>
      </c>
      <c r="L44" s="22">
        <v>2499</v>
      </c>
      <c r="M44" s="22">
        <v>2499</v>
      </c>
      <c r="N44" s="22">
        <v>2499</v>
      </c>
      <c r="O44" s="22">
        <v>2499</v>
      </c>
      <c r="P44" s="22">
        <v>2499</v>
      </c>
      <c r="Q44" s="22">
        <v>2499</v>
      </c>
      <c r="R44" s="22">
        <v>2499</v>
      </c>
      <c r="S44" s="22">
        <v>2499</v>
      </c>
      <c r="T44" s="22">
        <v>2499</v>
      </c>
      <c r="U44" s="22">
        <v>2499</v>
      </c>
      <c r="V44" s="22">
        <v>2499</v>
      </c>
      <c r="W44" s="22">
        <v>2499</v>
      </c>
      <c r="X44" s="22">
        <v>2499</v>
      </c>
      <c r="Y44" s="23">
        <v>38</v>
      </c>
    </row>
    <row r="45" spans="1:25" x14ac:dyDescent="0.3">
      <c r="A45" s="21">
        <v>39</v>
      </c>
      <c r="B45" s="21" t="s">
        <v>64</v>
      </c>
      <c r="C45" s="21" t="s">
        <v>63</v>
      </c>
      <c r="D45" s="22">
        <v>699</v>
      </c>
      <c r="E45" s="22">
        <v>699</v>
      </c>
      <c r="F45" s="22">
        <v>699</v>
      </c>
      <c r="G45" s="22">
        <v>699</v>
      </c>
      <c r="H45" s="22">
        <v>699</v>
      </c>
      <c r="I45" s="22">
        <v>699</v>
      </c>
      <c r="J45" s="22">
        <v>699</v>
      </c>
      <c r="K45" s="22">
        <v>699</v>
      </c>
      <c r="L45" s="22">
        <v>699</v>
      </c>
      <c r="M45" s="22">
        <v>699</v>
      </c>
      <c r="N45" s="22">
        <v>699</v>
      </c>
      <c r="O45" s="22">
        <v>699</v>
      </c>
      <c r="P45" s="22">
        <v>699</v>
      </c>
      <c r="Q45" s="22">
        <v>699</v>
      </c>
      <c r="R45" s="22">
        <v>699</v>
      </c>
      <c r="S45" s="22">
        <v>699</v>
      </c>
      <c r="T45" s="22">
        <v>699</v>
      </c>
      <c r="U45" s="22">
        <v>699</v>
      </c>
      <c r="V45" s="22">
        <v>699</v>
      </c>
      <c r="W45" s="22">
        <v>699</v>
      </c>
      <c r="X45" s="22">
        <v>699</v>
      </c>
      <c r="Y45" s="23">
        <v>39</v>
      </c>
    </row>
    <row r="46" spans="1:25" x14ac:dyDescent="0.3">
      <c r="A46" s="21">
        <v>40</v>
      </c>
      <c r="B46" s="21" t="s">
        <v>65</v>
      </c>
      <c r="C46" s="21" t="s">
        <v>63</v>
      </c>
      <c r="D46" s="22">
        <v>1499</v>
      </c>
      <c r="E46" s="22">
        <v>1499</v>
      </c>
      <c r="F46" s="22">
        <v>1499</v>
      </c>
      <c r="G46" s="22">
        <v>1499</v>
      </c>
      <c r="H46" s="22">
        <v>1499</v>
      </c>
      <c r="I46" s="22">
        <v>1499</v>
      </c>
      <c r="J46" s="22">
        <v>1499</v>
      </c>
      <c r="K46" s="22">
        <v>1499</v>
      </c>
      <c r="L46" s="22">
        <v>1499</v>
      </c>
      <c r="M46" s="22">
        <v>1499</v>
      </c>
      <c r="N46" s="22">
        <v>1499</v>
      </c>
      <c r="O46" s="22">
        <v>1499</v>
      </c>
      <c r="P46" s="22">
        <v>1499</v>
      </c>
      <c r="Q46" s="22">
        <v>1499</v>
      </c>
      <c r="R46" s="22">
        <v>1499</v>
      </c>
      <c r="S46" s="22">
        <v>1499</v>
      </c>
      <c r="T46" s="22">
        <v>1499</v>
      </c>
      <c r="U46" s="22">
        <v>1499</v>
      </c>
      <c r="V46" s="22">
        <v>1499</v>
      </c>
      <c r="W46" s="22">
        <v>1499</v>
      </c>
      <c r="X46" s="22">
        <v>1499</v>
      </c>
      <c r="Y46" s="23">
        <v>40</v>
      </c>
    </row>
    <row r="47" spans="1:25" x14ac:dyDescent="0.3">
      <c r="A47" s="21">
        <v>41</v>
      </c>
      <c r="B47" s="21" t="s">
        <v>68</v>
      </c>
      <c r="C47" s="21" t="s">
        <v>67</v>
      </c>
      <c r="D47" s="22">
        <v>6.95</v>
      </c>
      <c r="E47" s="22">
        <v>6.95</v>
      </c>
      <c r="F47" s="22">
        <v>6.95</v>
      </c>
      <c r="G47" s="22">
        <v>6.95</v>
      </c>
      <c r="H47" s="22">
        <v>6.95</v>
      </c>
      <c r="I47" s="22">
        <v>6.95</v>
      </c>
      <c r="J47" s="22">
        <v>6.95</v>
      </c>
      <c r="K47" s="22">
        <v>6.95</v>
      </c>
      <c r="L47" s="22">
        <v>6.95</v>
      </c>
      <c r="M47" s="22">
        <v>6.95</v>
      </c>
      <c r="N47" s="22">
        <v>6.95</v>
      </c>
      <c r="O47" s="22">
        <v>6.95</v>
      </c>
      <c r="P47" s="22">
        <v>6.95</v>
      </c>
      <c r="Q47" s="22">
        <v>6.95</v>
      </c>
      <c r="R47" s="22">
        <v>6.95</v>
      </c>
      <c r="S47" s="22">
        <v>6.95</v>
      </c>
      <c r="T47" s="22">
        <v>6.95</v>
      </c>
      <c r="U47" s="22">
        <v>6.95</v>
      </c>
      <c r="V47" s="22">
        <v>6.95</v>
      </c>
      <c r="W47" s="22">
        <v>6.95</v>
      </c>
      <c r="X47" s="22">
        <v>6.95</v>
      </c>
      <c r="Y47" s="23">
        <v>41</v>
      </c>
    </row>
    <row r="48" spans="1:25" x14ac:dyDescent="0.3">
      <c r="A48" s="21">
        <v>42</v>
      </c>
      <c r="B48" s="21" t="s">
        <v>404</v>
      </c>
      <c r="C48" s="21" t="s">
        <v>69</v>
      </c>
      <c r="D48" s="22">
        <v>2566.5</v>
      </c>
      <c r="E48" s="22">
        <v>2566.5</v>
      </c>
      <c r="F48" s="22">
        <v>2566.5</v>
      </c>
      <c r="G48" s="22">
        <v>2566.5</v>
      </c>
      <c r="H48" s="22">
        <v>2566.5</v>
      </c>
      <c r="I48" s="22">
        <v>2566.5</v>
      </c>
      <c r="J48" s="22">
        <v>2566.5</v>
      </c>
      <c r="K48" s="22">
        <v>2566.5</v>
      </c>
      <c r="L48" s="22">
        <v>2566.5</v>
      </c>
      <c r="M48" s="22">
        <v>2566.5</v>
      </c>
      <c r="N48" s="22">
        <v>2566.5</v>
      </c>
      <c r="O48" s="22">
        <v>2566.5</v>
      </c>
      <c r="P48" s="22">
        <v>2566.5</v>
      </c>
      <c r="Q48" s="22">
        <v>2566.5</v>
      </c>
      <c r="R48" s="22">
        <v>2566.5</v>
      </c>
      <c r="S48" s="22">
        <v>2566.5</v>
      </c>
      <c r="T48" s="22">
        <v>2566.5</v>
      </c>
      <c r="U48" s="22">
        <v>2566.5</v>
      </c>
      <c r="V48" s="22">
        <v>2566.5</v>
      </c>
      <c r="W48" s="22">
        <v>2566.5</v>
      </c>
      <c r="X48" s="22">
        <v>2566.5</v>
      </c>
      <c r="Y48" s="23">
        <v>42</v>
      </c>
    </row>
    <row r="49" spans="1:25" x14ac:dyDescent="0.3">
      <c r="A49" s="21">
        <v>43</v>
      </c>
      <c r="B49" s="21" t="s">
        <v>70</v>
      </c>
      <c r="C49" s="21" t="s">
        <v>71</v>
      </c>
      <c r="D49" s="22">
        <v>1850</v>
      </c>
      <c r="E49" s="22">
        <v>2139.27</v>
      </c>
      <c r="F49" s="22">
        <v>2350</v>
      </c>
      <c r="G49" s="22">
        <v>1500</v>
      </c>
      <c r="H49" s="22">
        <v>1762.08</v>
      </c>
      <c r="I49" s="22">
        <v>1950</v>
      </c>
      <c r="J49" s="22">
        <v>1900</v>
      </c>
      <c r="K49" s="22">
        <v>1932.77</v>
      </c>
      <c r="L49" s="22">
        <v>2000</v>
      </c>
      <c r="M49" s="22">
        <v>1600</v>
      </c>
      <c r="N49" s="22">
        <v>1600</v>
      </c>
      <c r="O49" s="22">
        <v>1600</v>
      </c>
      <c r="P49" s="22">
        <v>1800</v>
      </c>
      <c r="Q49" s="22">
        <v>1899.43</v>
      </c>
      <c r="R49" s="22">
        <v>1950</v>
      </c>
      <c r="S49" s="22">
        <v>1800</v>
      </c>
      <c r="T49" s="22">
        <v>1800</v>
      </c>
      <c r="U49" s="22">
        <v>1800</v>
      </c>
      <c r="V49" s="22">
        <v>1250</v>
      </c>
      <c r="W49" s="22">
        <v>1283.1099999999999</v>
      </c>
      <c r="X49" s="22">
        <v>1300</v>
      </c>
      <c r="Y49" s="23">
        <v>43</v>
      </c>
    </row>
    <row r="50" spans="1:25" x14ac:dyDescent="0.3">
      <c r="A50" s="21">
        <v>44</v>
      </c>
      <c r="B50" s="21" t="s">
        <v>72</v>
      </c>
      <c r="C50" s="21" t="s">
        <v>23</v>
      </c>
      <c r="D50" s="22">
        <v>270</v>
      </c>
      <c r="E50" s="22">
        <v>276.63</v>
      </c>
      <c r="F50" s="22">
        <v>280</v>
      </c>
      <c r="G50" s="22">
        <v>240</v>
      </c>
      <c r="H50" s="22">
        <v>260.39999999999998</v>
      </c>
      <c r="I50" s="22">
        <v>280</v>
      </c>
      <c r="J50" s="22">
        <v>550</v>
      </c>
      <c r="K50" s="22">
        <v>550</v>
      </c>
      <c r="L50" s="22">
        <v>550</v>
      </c>
      <c r="M50" s="22">
        <v>575</v>
      </c>
      <c r="N50" s="22">
        <v>575</v>
      </c>
      <c r="O50" s="22">
        <v>575</v>
      </c>
      <c r="P50" s="22">
        <v>550</v>
      </c>
      <c r="Q50" s="22">
        <v>550</v>
      </c>
      <c r="R50" s="22">
        <v>550</v>
      </c>
      <c r="S50" s="22">
        <v>400</v>
      </c>
      <c r="T50" s="22">
        <v>400</v>
      </c>
      <c r="U50" s="22">
        <v>400</v>
      </c>
      <c r="V50" s="22">
        <v>550</v>
      </c>
      <c r="W50" s="22">
        <v>550</v>
      </c>
      <c r="X50" s="22">
        <v>550</v>
      </c>
      <c r="Y50" s="23">
        <v>44</v>
      </c>
    </row>
    <row r="51" spans="1:25" x14ac:dyDescent="0.3">
      <c r="A51" s="21">
        <v>45</v>
      </c>
      <c r="B51" s="21" t="s">
        <v>73</v>
      </c>
      <c r="C51" s="21" t="s">
        <v>23</v>
      </c>
      <c r="D51" s="22">
        <v>150</v>
      </c>
      <c r="E51" s="22">
        <v>150.81</v>
      </c>
      <c r="F51" s="22">
        <v>160</v>
      </c>
      <c r="G51" s="22">
        <v>150</v>
      </c>
      <c r="H51" s="22">
        <v>153.26</v>
      </c>
      <c r="I51" s="22">
        <v>160</v>
      </c>
      <c r="J51" s="22">
        <v>140</v>
      </c>
      <c r="K51" s="22">
        <v>143.26</v>
      </c>
      <c r="L51" s="22">
        <v>150</v>
      </c>
      <c r="M51" s="22">
        <v>130</v>
      </c>
      <c r="N51" s="22">
        <v>130</v>
      </c>
      <c r="O51" s="22">
        <v>130</v>
      </c>
      <c r="P51" s="22">
        <v>150</v>
      </c>
      <c r="Q51" s="22">
        <v>150</v>
      </c>
      <c r="R51" s="22">
        <v>150</v>
      </c>
      <c r="S51" s="22">
        <v>140</v>
      </c>
      <c r="T51" s="22">
        <v>140</v>
      </c>
      <c r="U51" s="22">
        <v>140</v>
      </c>
      <c r="V51" s="22">
        <v>150</v>
      </c>
      <c r="W51" s="22">
        <v>150</v>
      </c>
      <c r="X51" s="22">
        <v>150</v>
      </c>
      <c r="Y51" s="23">
        <v>45</v>
      </c>
    </row>
    <row r="52" spans="1:25" x14ac:dyDescent="0.3">
      <c r="A52" s="21">
        <v>46</v>
      </c>
      <c r="B52" s="21" t="s">
        <v>74</v>
      </c>
      <c r="C52" s="21" t="s">
        <v>23</v>
      </c>
      <c r="D52" s="22">
        <v>6</v>
      </c>
      <c r="E52" s="22">
        <v>6</v>
      </c>
      <c r="F52" s="22">
        <v>6</v>
      </c>
      <c r="G52" s="22">
        <v>6</v>
      </c>
      <c r="H52" s="22">
        <v>6</v>
      </c>
      <c r="I52" s="22">
        <v>6</v>
      </c>
      <c r="J52" s="22">
        <v>7</v>
      </c>
      <c r="K52" s="22">
        <v>7</v>
      </c>
      <c r="L52" s="22">
        <v>7</v>
      </c>
      <c r="M52" s="22">
        <v>6</v>
      </c>
      <c r="N52" s="22">
        <v>6</v>
      </c>
      <c r="O52" s="22">
        <v>6</v>
      </c>
      <c r="P52" s="22">
        <v>6</v>
      </c>
      <c r="Q52" s="22">
        <v>6.32</v>
      </c>
      <c r="R52" s="22">
        <v>7</v>
      </c>
      <c r="S52" s="22">
        <v>7</v>
      </c>
      <c r="T52" s="22">
        <v>7</v>
      </c>
      <c r="U52" s="22">
        <v>7</v>
      </c>
      <c r="V52" s="22">
        <v>6</v>
      </c>
      <c r="W52" s="22">
        <v>6</v>
      </c>
      <c r="X52" s="22">
        <v>6</v>
      </c>
      <c r="Y52" s="23">
        <v>46</v>
      </c>
    </row>
    <row r="53" spans="1:25" x14ac:dyDescent="0.3">
      <c r="A53" s="21">
        <v>47</v>
      </c>
      <c r="B53" s="21" t="s">
        <v>75</v>
      </c>
      <c r="C53" s="21" t="s">
        <v>76</v>
      </c>
      <c r="D53" s="22">
        <v>328.47</v>
      </c>
      <c r="E53" s="22">
        <v>328.47</v>
      </c>
      <c r="F53" s="22">
        <v>328.47</v>
      </c>
      <c r="G53" s="22">
        <v>328.34</v>
      </c>
      <c r="H53" s="22">
        <v>328.38</v>
      </c>
      <c r="I53" s="22">
        <v>328.47</v>
      </c>
      <c r="J53" s="22">
        <v>329.35</v>
      </c>
      <c r="K53" s="22">
        <v>329.35</v>
      </c>
      <c r="L53" s="22">
        <v>329.35</v>
      </c>
      <c r="M53" s="22">
        <v>329.12</v>
      </c>
      <c r="N53" s="22">
        <v>329.12</v>
      </c>
      <c r="O53" s="22">
        <v>329.12</v>
      </c>
      <c r="P53" s="22">
        <v>327.12</v>
      </c>
      <c r="Q53" s="22">
        <v>327.12</v>
      </c>
      <c r="R53" s="22">
        <v>327.12</v>
      </c>
      <c r="S53" s="22">
        <v>328.37</v>
      </c>
      <c r="T53" s="22">
        <v>328.37</v>
      </c>
      <c r="U53" s="22">
        <v>328.37</v>
      </c>
      <c r="V53" s="22">
        <v>330.17</v>
      </c>
      <c r="W53" s="22">
        <v>330.17</v>
      </c>
      <c r="X53" s="22">
        <v>330.17</v>
      </c>
      <c r="Y53" s="23">
        <v>47</v>
      </c>
    </row>
    <row r="54" spans="1:25" x14ac:dyDescent="0.3">
      <c r="A54" s="21">
        <v>48</v>
      </c>
      <c r="B54" s="21" t="s">
        <v>77</v>
      </c>
      <c r="C54" s="21" t="s">
        <v>76</v>
      </c>
      <c r="D54" s="22">
        <v>376.39</v>
      </c>
      <c r="E54" s="22">
        <v>376.39</v>
      </c>
      <c r="F54" s="22">
        <v>376.39</v>
      </c>
      <c r="G54" s="22">
        <v>376.28</v>
      </c>
      <c r="H54" s="22">
        <v>376.31</v>
      </c>
      <c r="I54" s="22">
        <v>376.39</v>
      </c>
      <c r="J54" s="22">
        <v>377.3</v>
      </c>
      <c r="K54" s="22">
        <v>377.3</v>
      </c>
      <c r="L54" s="22">
        <v>377.3</v>
      </c>
      <c r="M54" s="22">
        <v>376.04</v>
      </c>
      <c r="N54" s="22">
        <v>376.04</v>
      </c>
      <c r="O54" s="22">
        <v>376.04</v>
      </c>
      <c r="P54" s="22">
        <v>375.04</v>
      </c>
      <c r="Q54" s="22">
        <v>375.04</v>
      </c>
      <c r="R54" s="22">
        <v>375.04</v>
      </c>
      <c r="S54" s="22">
        <v>376.29</v>
      </c>
      <c r="T54" s="22">
        <v>376.29</v>
      </c>
      <c r="U54" s="22">
        <v>376.29</v>
      </c>
      <c r="V54" s="22">
        <v>378.09</v>
      </c>
      <c r="W54" s="22">
        <v>378.09</v>
      </c>
      <c r="X54" s="22">
        <v>378.09</v>
      </c>
      <c r="Y54" s="23">
        <v>48</v>
      </c>
    </row>
    <row r="55" spans="1:25" x14ac:dyDescent="0.3">
      <c r="A55" s="21">
        <v>49</v>
      </c>
      <c r="B55" s="21" t="s">
        <v>78</v>
      </c>
      <c r="C55" s="21" t="s">
        <v>23</v>
      </c>
      <c r="D55" s="22">
        <v>4600</v>
      </c>
      <c r="E55" s="22">
        <v>4788.74</v>
      </c>
      <c r="F55" s="22">
        <v>5200</v>
      </c>
      <c r="G55" s="22">
        <v>4700</v>
      </c>
      <c r="H55" s="22">
        <v>4779.7299999999996</v>
      </c>
      <c r="I55" s="22">
        <v>4900</v>
      </c>
      <c r="J55" s="22">
        <v>4668</v>
      </c>
      <c r="K55" s="22">
        <v>4668</v>
      </c>
      <c r="L55" s="22">
        <v>4668</v>
      </c>
      <c r="M55" s="22">
        <v>4668</v>
      </c>
      <c r="N55" s="22">
        <v>4668</v>
      </c>
      <c r="O55" s="22">
        <v>4668</v>
      </c>
      <c r="P55" s="22">
        <v>4434.6000000000004</v>
      </c>
      <c r="Q55" s="22">
        <v>4473.16</v>
      </c>
      <c r="R55" s="22">
        <v>4551.3</v>
      </c>
      <c r="S55" s="22">
        <v>4670</v>
      </c>
      <c r="T55" s="22">
        <v>4670</v>
      </c>
      <c r="U55" s="22">
        <v>4670</v>
      </c>
      <c r="V55" s="22">
        <v>4300</v>
      </c>
      <c r="W55" s="22">
        <v>4300</v>
      </c>
      <c r="X55" s="22">
        <v>4300</v>
      </c>
      <c r="Y55" s="23">
        <v>49</v>
      </c>
    </row>
    <row r="56" spans="1:25" x14ac:dyDescent="0.3">
      <c r="A56" s="21">
        <v>50</v>
      </c>
      <c r="B56" s="21" t="s">
        <v>79</v>
      </c>
      <c r="C56" s="21" t="s">
        <v>80</v>
      </c>
      <c r="D56" s="22">
        <v>1.79</v>
      </c>
      <c r="E56" s="22">
        <v>1.79</v>
      </c>
      <c r="F56" s="22">
        <v>1.79</v>
      </c>
      <c r="G56" s="22">
        <v>1.79</v>
      </c>
      <c r="H56" s="22">
        <v>1.79</v>
      </c>
      <c r="I56" s="22">
        <v>1.79</v>
      </c>
      <c r="J56" s="22">
        <v>1.79</v>
      </c>
      <c r="K56" s="22">
        <v>1.79</v>
      </c>
      <c r="L56" s="22">
        <v>1.79</v>
      </c>
      <c r="M56" s="22">
        <v>1.79</v>
      </c>
      <c r="N56" s="22">
        <v>1.79</v>
      </c>
      <c r="O56" s="22">
        <v>1.79</v>
      </c>
      <c r="P56" s="22">
        <v>1.79</v>
      </c>
      <c r="Q56" s="22">
        <v>1.79</v>
      </c>
      <c r="R56" s="22">
        <v>1.79</v>
      </c>
      <c r="S56" s="22">
        <v>1.79</v>
      </c>
      <c r="T56" s="22">
        <v>1.79</v>
      </c>
      <c r="U56" s="22">
        <v>1.79</v>
      </c>
      <c r="V56" s="22">
        <v>1.79</v>
      </c>
      <c r="W56" s="22">
        <v>1.79</v>
      </c>
      <c r="X56" s="22">
        <v>1.79</v>
      </c>
      <c r="Y56" s="23">
        <v>50</v>
      </c>
    </row>
    <row r="57" spans="1:25" x14ac:dyDescent="0.3">
      <c r="A57" s="21">
        <v>51</v>
      </c>
      <c r="B57" s="21" t="s">
        <v>81</v>
      </c>
      <c r="C57" s="21" t="s">
        <v>23</v>
      </c>
      <c r="D57" s="22">
        <v>117.34</v>
      </c>
      <c r="E57" s="22">
        <v>117.34</v>
      </c>
      <c r="F57" s="22">
        <v>117.34</v>
      </c>
      <c r="G57" s="22">
        <v>117.34</v>
      </c>
      <c r="H57" s="22">
        <v>117.34</v>
      </c>
      <c r="I57" s="22">
        <v>117.34</v>
      </c>
      <c r="J57" s="22">
        <v>117.34</v>
      </c>
      <c r="K57" s="22">
        <v>117.34</v>
      </c>
      <c r="L57" s="22">
        <v>117.34</v>
      </c>
      <c r="M57" s="22">
        <v>117</v>
      </c>
      <c r="N57" s="22">
        <v>117</v>
      </c>
      <c r="O57" s="22">
        <v>117</v>
      </c>
      <c r="P57" s="22">
        <v>116.17</v>
      </c>
      <c r="Q57" s="22">
        <v>116.17</v>
      </c>
      <c r="R57" s="22">
        <v>116.17</v>
      </c>
      <c r="S57" s="22">
        <v>116.17</v>
      </c>
      <c r="T57" s="22">
        <v>116.17</v>
      </c>
      <c r="U57" s="22">
        <v>116.17</v>
      </c>
      <c r="V57" s="22">
        <v>117.34</v>
      </c>
      <c r="W57" s="22">
        <v>117.34</v>
      </c>
      <c r="X57" s="22">
        <v>117.34</v>
      </c>
      <c r="Y57" s="23">
        <v>51</v>
      </c>
    </row>
    <row r="58" spans="1:2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16"/>
      <c r="B59" s="16"/>
      <c r="C59" s="16"/>
      <c r="D59" s="55" t="s">
        <v>4</v>
      </c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16"/>
    </row>
    <row r="60" spans="1:25" ht="21" x14ac:dyDescent="0.4">
      <c r="A60" s="17"/>
      <c r="B60" s="17"/>
      <c r="C60" s="17"/>
      <c r="D60" s="57" t="s">
        <v>5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17"/>
    </row>
    <row r="61" spans="1:25" x14ac:dyDescent="0.3">
      <c r="A61" s="20" t="s">
        <v>0</v>
      </c>
      <c r="B61" s="20"/>
      <c r="C61" s="20"/>
      <c r="D61" s="60" t="s">
        <v>82</v>
      </c>
      <c r="E61" s="60"/>
      <c r="F61" s="60"/>
      <c r="G61" s="60" t="s">
        <v>83</v>
      </c>
      <c r="H61" s="60"/>
      <c r="I61" s="60"/>
      <c r="J61" s="60" t="s">
        <v>84</v>
      </c>
      <c r="K61" s="60"/>
      <c r="L61" s="60"/>
      <c r="M61" s="60" t="s">
        <v>85</v>
      </c>
      <c r="N61" s="60"/>
      <c r="O61" s="60"/>
      <c r="P61" s="60" t="s">
        <v>86</v>
      </c>
      <c r="Q61" s="60"/>
      <c r="R61" s="60"/>
      <c r="S61" s="60" t="s">
        <v>87</v>
      </c>
      <c r="T61" s="60"/>
      <c r="U61" s="60"/>
      <c r="V61" s="60" t="s">
        <v>88</v>
      </c>
      <c r="W61" s="60"/>
      <c r="X61" s="60"/>
      <c r="Y61" s="20" t="s">
        <v>0</v>
      </c>
    </row>
    <row r="62" spans="1:25" x14ac:dyDescent="0.3">
      <c r="A62" s="20" t="s">
        <v>1</v>
      </c>
      <c r="B62" s="20" t="s">
        <v>2</v>
      </c>
      <c r="C62" s="20" t="s">
        <v>3</v>
      </c>
      <c r="D62" s="20" t="s">
        <v>8</v>
      </c>
      <c r="E62" s="20" t="s">
        <v>9</v>
      </c>
      <c r="F62" s="20" t="s">
        <v>10</v>
      </c>
      <c r="G62" s="20" t="s">
        <v>8</v>
      </c>
      <c r="H62" s="20" t="s">
        <v>9</v>
      </c>
      <c r="I62" s="20" t="s">
        <v>10</v>
      </c>
      <c r="J62" s="20" t="s">
        <v>8</v>
      </c>
      <c r="K62" s="20" t="s">
        <v>9</v>
      </c>
      <c r="L62" s="20" t="s">
        <v>10</v>
      </c>
      <c r="M62" s="20" t="s">
        <v>8</v>
      </c>
      <c r="N62" s="20" t="s">
        <v>9</v>
      </c>
      <c r="O62" s="20" t="s">
        <v>10</v>
      </c>
      <c r="P62" s="20" t="s">
        <v>8</v>
      </c>
      <c r="Q62" s="20" t="s">
        <v>9</v>
      </c>
      <c r="R62" s="20" t="s">
        <v>10</v>
      </c>
      <c r="S62" s="20" t="s">
        <v>8</v>
      </c>
      <c r="T62" s="20" t="s">
        <v>9</v>
      </c>
      <c r="U62" s="20" t="s">
        <v>10</v>
      </c>
      <c r="V62" s="20" t="s">
        <v>8</v>
      </c>
      <c r="W62" s="20" t="s">
        <v>9</v>
      </c>
      <c r="X62" s="20" t="s">
        <v>10</v>
      </c>
      <c r="Y62" s="20" t="s">
        <v>1</v>
      </c>
    </row>
    <row r="63" spans="1:25" ht="12" customHeight="1" x14ac:dyDescent="0.3">
      <c r="A63" s="20">
        <v>1</v>
      </c>
      <c r="B63" s="20">
        <v>2</v>
      </c>
      <c r="C63" s="20">
        <v>3</v>
      </c>
      <c r="D63" s="20">
        <v>25</v>
      </c>
      <c r="E63" s="20">
        <v>26</v>
      </c>
      <c r="F63" s="20">
        <v>27</v>
      </c>
      <c r="G63" s="20">
        <v>28</v>
      </c>
      <c r="H63" s="20">
        <v>29</v>
      </c>
      <c r="I63" s="20">
        <v>30</v>
      </c>
      <c r="J63" s="20">
        <v>31</v>
      </c>
      <c r="K63" s="20">
        <v>32</v>
      </c>
      <c r="L63" s="20">
        <v>33</v>
      </c>
      <c r="M63" s="20">
        <v>34</v>
      </c>
      <c r="N63" s="20">
        <v>35</v>
      </c>
      <c r="O63" s="20">
        <v>36</v>
      </c>
      <c r="P63" s="20">
        <v>37</v>
      </c>
      <c r="Q63" s="20">
        <v>38</v>
      </c>
      <c r="R63" s="20">
        <v>39</v>
      </c>
      <c r="S63" s="20">
        <v>40</v>
      </c>
      <c r="T63" s="20">
        <v>41</v>
      </c>
      <c r="U63" s="20">
        <v>42</v>
      </c>
      <c r="V63" s="20">
        <v>43</v>
      </c>
      <c r="W63" s="20">
        <v>44</v>
      </c>
      <c r="X63" s="20">
        <v>45</v>
      </c>
      <c r="Y63" s="20">
        <v>1</v>
      </c>
    </row>
    <row r="64" spans="1:25" ht="17.399999999999999" x14ac:dyDescent="0.3">
      <c r="A64" s="17"/>
      <c r="B64" s="17"/>
      <c r="C64" s="17"/>
      <c r="D64" s="59" t="s">
        <v>6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17"/>
    </row>
    <row r="65" spans="1:25" x14ac:dyDescent="0.3">
      <c r="A65" s="21">
        <v>1</v>
      </c>
      <c r="B65" s="21" t="s">
        <v>17</v>
      </c>
      <c r="C65" s="21" t="s">
        <v>18</v>
      </c>
      <c r="D65" s="22">
        <v>2200</v>
      </c>
      <c r="E65" s="22">
        <v>2312.25</v>
      </c>
      <c r="F65" s="22">
        <v>2666.66</v>
      </c>
      <c r="G65" s="22">
        <v>2680</v>
      </c>
      <c r="H65" s="22">
        <v>2693.27</v>
      </c>
      <c r="I65" s="22">
        <v>2720</v>
      </c>
      <c r="J65" s="22">
        <v>2600</v>
      </c>
      <c r="K65" s="22">
        <v>2729.47</v>
      </c>
      <c r="L65" s="22">
        <v>2900</v>
      </c>
      <c r="M65" s="22">
        <v>2720</v>
      </c>
      <c r="N65" s="22">
        <v>2754.95</v>
      </c>
      <c r="O65" s="22">
        <v>2780</v>
      </c>
      <c r="P65" s="22">
        <v>2500</v>
      </c>
      <c r="Q65" s="22">
        <v>2500</v>
      </c>
      <c r="R65" s="22">
        <v>2500</v>
      </c>
      <c r="S65" s="22">
        <v>2500</v>
      </c>
      <c r="T65" s="22">
        <v>2500</v>
      </c>
      <c r="U65" s="22">
        <v>2500</v>
      </c>
      <c r="V65" s="22">
        <v>2800</v>
      </c>
      <c r="W65" s="22">
        <v>2888.52</v>
      </c>
      <c r="X65" s="22">
        <v>2950</v>
      </c>
      <c r="Y65" s="23">
        <v>1</v>
      </c>
    </row>
    <row r="66" spans="1:25" x14ac:dyDescent="0.3">
      <c r="A66" s="21">
        <v>2</v>
      </c>
      <c r="B66" s="21" t="s">
        <v>19</v>
      </c>
      <c r="C66" s="21" t="s">
        <v>20</v>
      </c>
      <c r="D66" s="22">
        <v>180</v>
      </c>
      <c r="E66" s="22">
        <v>193.1</v>
      </c>
      <c r="F66" s="22">
        <v>200</v>
      </c>
      <c r="G66" s="22">
        <v>190</v>
      </c>
      <c r="H66" s="22">
        <v>203.11</v>
      </c>
      <c r="I66" s="22">
        <v>210</v>
      </c>
      <c r="J66" s="22">
        <v>260</v>
      </c>
      <c r="K66" s="22">
        <v>279.31</v>
      </c>
      <c r="L66" s="22">
        <v>290</v>
      </c>
      <c r="M66" s="22">
        <v>200</v>
      </c>
      <c r="N66" s="22">
        <v>213.12</v>
      </c>
      <c r="O66" s="22">
        <v>220</v>
      </c>
      <c r="P66" s="22">
        <v>200</v>
      </c>
      <c r="Q66" s="22">
        <v>200</v>
      </c>
      <c r="R66" s="22">
        <v>200</v>
      </c>
      <c r="S66" s="22">
        <v>230</v>
      </c>
      <c r="T66" s="22">
        <v>236.62</v>
      </c>
      <c r="U66" s="22">
        <v>240</v>
      </c>
      <c r="V66" s="22">
        <v>220</v>
      </c>
      <c r="W66" s="22">
        <v>222.18</v>
      </c>
      <c r="X66" s="22">
        <v>230</v>
      </c>
      <c r="Y66" s="23">
        <v>2</v>
      </c>
    </row>
    <row r="67" spans="1:25" x14ac:dyDescent="0.3">
      <c r="A67" s="21">
        <v>3</v>
      </c>
      <c r="B67" s="21" t="s">
        <v>21</v>
      </c>
      <c r="C67" s="21" t="s">
        <v>20</v>
      </c>
      <c r="D67" s="22">
        <v>130</v>
      </c>
      <c r="E67" s="22">
        <v>140.91999999999999</v>
      </c>
      <c r="F67" s="22">
        <v>150</v>
      </c>
      <c r="G67" s="22">
        <v>190</v>
      </c>
      <c r="H67" s="22">
        <v>196.61</v>
      </c>
      <c r="I67" s="22">
        <v>200</v>
      </c>
      <c r="J67" s="22">
        <v>160</v>
      </c>
      <c r="K67" s="22">
        <v>173.88</v>
      </c>
      <c r="L67" s="22">
        <v>190</v>
      </c>
      <c r="M67" s="22">
        <v>120</v>
      </c>
      <c r="N67" s="22">
        <v>123.24</v>
      </c>
      <c r="O67" s="22">
        <v>130</v>
      </c>
      <c r="P67" s="22">
        <v>130</v>
      </c>
      <c r="Q67" s="22">
        <v>130</v>
      </c>
      <c r="R67" s="22">
        <v>130</v>
      </c>
      <c r="S67" s="22">
        <v>110</v>
      </c>
      <c r="T67" s="22">
        <v>116.57</v>
      </c>
      <c r="U67" s="22">
        <v>120</v>
      </c>
      <c r="V67" s="22">
        <v>130</v>
      </c>
      <c r="W67" s="22">
        <v>130</v>
      </c>
      <c r="X67" s="22">
        <v>130</v>
      </c>
      <c r="Y67" s="23">
        <v>3</v>
      </c>
    </row>
    <row r="68" spans="1:25" x14ac:dyDescent="0.3">
      <c r="A68" s="21">
        <v>4</v>
      </c>
      <c r="B68" s="21" t="s">
        <v>22</v>
      </c>
      <c r="C68" s="21" t="s">
        <v>23</v>
      </c>
      <c r="D68" s="22">
        <v>120</v>
      </c>
      <c r="E68" s="22">
        <v>120</v>
      </c>
      <c r="F68" s="22">
        <v>120</v>
      </c>
      <c r="G68" s="22">
        <v>110</v>
      </c>
      <c r="H68" s="22">
        <v>110</v>
      </c>
      <c r="I68" s="22">
        <v>110</v>
      </c>
      <c r="J68" s="22">
        <v>130</v>
      </c>
      <c r="K68" s="22">
        <v>130</v>
      </c>
      <c r="L68" s="22">
        <v>130</v>
      </c>
      <c r="M68" s="22">
        <v>130</v>
      </c>
      <c r="N68" s="22">
        <v>130</v>
      </c>
      <c r="O68" s="22">
        <v>130</v>
      </c>
      <c r="P68" s="22">
        <v>130</v>
      </c>
      <c r="Q68" s="22">
        <v>130</v>
      </c>
      <c r="R68" s="22">
        <v>130</v>
      </c>
      <c r="S68" s="22">
        <v>110</v>
      </c>
      <c r="T68" s="22">
        <v>116.57</v>
      </c>
      <c r="U68" s="22">
        <v>120</v>
      </c>
      <c r="V68" s="22">
        <v>120</v>
      </c>
      <c r="W68" s="22">
        <v>120</v>
      </c>
      <c r="X68" s="22">
        <v>120</v>
      </c>
      <c r="Y68" s="23">
        <v>4</v>
      </c>
    </row>
    <row r="69" spans="1:25" x14ac:dyDescent="0.3">
      <c r="A69" s="21">
        <v>5</v>
      </c>
      <c r="B69" s="21" t="s">
        <v>24</v>
      </c>
      <c r="C69" s="21" t="s">
        <v>20</v>
      </c>
      <c r="D69" s="22">
        <v>1250</v>
      </c>
      <c r="E69" s="22">
        <v>1299.79</v>
      </c>
      <c r="F69" s="22">
        <v>1350</v>
      </c>
      <c r="G69" s="22">
        <v>1100</v>
      </c>
      <c r="H69" s="22">
        <v>1116.42</v>
      </c>
      <c r="I69" s="22">
        <v>1150</v>
      </c>
      <c r="J69" s="22">
        <v>1400</v>
      </c>
      <c r="K69" s="22">
        <v>1437.1</v>
      </c>
      <c r="L69" s="22">
        <v>1500</v>
      </c>
      <c r="M69" s="22">
        <v>1200</v>
      </c>
      <c r="N69" s="22">
        <v>1245.26</v>
      </c>
      <c r="O69" s="22">
        <v>1300</v>
      </c>
      <c r="P69" s="22">
        <v>1200</v>
      </c>
      <c r="Q69" s="22">
        <v>1200</v>
      </c>
      <c r="R69" s="22">
        <v>1200</v>
      </c>
      <c r="S69" s="22">
        <v>1200</v>
      </c>
      <c r="T69" s="22">
        <v>1232.45</v>
      </c>
      <c r="U69" s="22">
        <v>1300</v>
      </c>
      <c r="V69" s="22">
        <v>1100</v>
      </c>
      <c r="W69" s="22">
        <v>1257.6300000000001</v>
      </c>
      <c r="X69" s="22">
        <v>1400</v>
      </c>
      <c r="Y69" s="23">
        <v>5</v>
      </c>
    </row>
    <row r="70" spans="1:25" x14ac:dyDescent="0.3">
      <c r="A70" s="21">
        <v>6</v>
      </c>
      <c r="B70" s="21" t="s">
        <v>25</v>
      </c>
      <c r="C70" s="21" t="s">
        <v>20</v>
      </c>
      <c r="D70" s="22">
        <v>2300</v>
      </c>
      <c r="E70" s="22">
        <v>2404.92</v>
      </c>
      <c r="F70" s="22">
        <v>2500</v>
      </c>
      <c r="G70" s="22">
        <v>2200</v>
      </c>
      <c r="H70" s="22">
        <v>2266.17</v>
      </c>
      <c r="I70" s="22">
        <v>2300</v>
      </c>
      <c r="J70" s="22">
        <v>2200</v>
      </c>
      <c r="K70" s="22">
        <v>2447.5700000000002</v>
      </c>
      <c r="L70" s="22">
        <v>2800</v>
      </c>
      <c r="M70" s="22">
        <v>2350</v>
      </c>
      <c r="N70" s="22">
        <v>2395.62</v>
      </c>
      <c r="O70" s="22">
        <v>2450</v>
      </c>
      <c r="P70" s="22">
        <v>2000</v>
      </c>
      <c r="Q70" s="22">
        <v>2000</v>
      </c>
      <c r="R70" s="22">
        <v>2000</v>
      </c>
      <c r="S70" s="22">
        <v>2000</v>
      </c>
      <c r="T70" s="22">
        <v>2131.1999999999998</v>
      </c>
      <c r="U70" s="22">
        <v>2200</v>
      </c>
      <c r="V70" s="22">
        <v>2100</v>
      </c>
      <c r="W70" s="22">
        <v>2283.33</v>
      </c>
      <c r="X70" s="22">
        <v>2500</v>
      </c>
      <c r="Y70" s="23">
        <v>6</v>
      </c>
    </row>
    <row r="71" spans="1:25" x14ac:dyDescent="0.3">
      <c r="A71" s="21">
        <v>7</v>
      </c>
      <c r="B71" s="21" t="s">
        <v>26</v>
      </c>
      <c r="C71" s="21" t="s">
        <v>20</v>
      </c>
      <c r="D71" s="22">
        <v>355</v>
      </c>
      <c r="E71" s="22">
        <v>355</v>
      </c>
      <c r="F71" s="22">
        <v>355</v>
      </c>
      <c r="G71" s="22">
        <v>320</v>
      </c>
      <c r="H71" s="22">
        <v>320</v>
      </c>
      <c r="I71" s="22">
        <v>320</v>
      </c>
      <c r="J71" s="22">
        <v>320</v>
      </c>
      <c r="K71" s="22">
        <v>336.23</v>
      </c>
      <c r="L71" s="22">
        <v>350</v>
      </c>
      <c r="M71" s="22">
        <v>310</v>
      </c>
      <c r="N71" s="22">
        <v>314.95999999999998</v>
      </c>
      <c r="O71" s="22">
        <v>320</v>
      </c>
      <c r="P71" s="22">
        <v>340</v>
      </c>
      <c r="Q71" s="22">
        <v>340</v>
      </c>
      <c r="R71" s="22">
        <v>340</v>
      </c>
      <c r="S71" s="22">
        <v>330</v>
      </c>
      <c r="T71" s="22">
        <v>330</v>
      </c>
      <c r="U71" s="22">
        <v>330</v>
      </c>
      <c r="V71" s="22">
        <v>395</v>
      </c>
      <c r="W71" s="22">
        <v>395</v>
      </c>
      <c r="X71" s="22">
        <v>395</v>
      </c>
      <c r="Y71" s="23">
        <v>7</v>
      </c>
    </row>
    <row r="72" spans="1:25" x14ac:dyDescent="0.3">
      <c r="A72" s="21">
        <v>8</v>
      </c>
      <c r="B72" s="21" t="s">
        <v>27</v>
      </c>
      <c r="C72" s="21" t="s">
        <v>28</v>
      </c>
      <c r="D72" s="22">
        <v>200</v>
      </c>
      <c r="E72" s="22">
        <v>205.5</v>
      </c>
      <c r="F72" s="22">
        <v>210</v>
      </c>
      <c r="G72" s="22">
        <v>180</v>
      </c>
      <c r="H72" s="22">
        <v>180</v>
      </c>
      <c r="I72" s="22">
        <v>180</v>
      </c>
      <c r="J72" s="22">
        <v>240</v>
      </c>
      <c r="K72" s="22">
        <v>240</v>
      </c>
      <c r="L72" s="22">
        <v>240</v>
      </c>
      <c r="M72" s="22">
        <v>230</v>
      </c>
      <c r="N72" s="22">
        <v>230</v>
      </c>
      <c r="O72" s="22">
        <v>230</v>
      </c>
      <c r="P72" s="22">
        <v>200</v>
      </c>
      <c r="Q72" s="22">
        <v>200</v>
      </c>
      <c r="R72" s="22">
        <v>200</v>
      </c>
      <c r="S72" s="22">
        <v>240</v>
      </c>
      <c r="T72" s="22">
        <v>243.29</v>
      </c>
      <c r="U72" s="22">
        <v>250</v>
      </c>
      <c r="V72" s="22">
        <v>240</v>
      </c>
      <c r="W72" s="22">
        <v>262.06</v>
      </c>
      <c r="X72" s="22">
        <v>270</v>
      </c>
      <c r="Y72" s="23">
        <v>8</v>
      </c>
    </row>
    <row r="73" spans="1:25" x14ac:dyDescent="0.3">
      <c r="A73" s="21">
        <v>9</v>
      </c>
      <c r="B73" s="21" t="s">
        <v>29</v>
      </c>
      <c r="C73" s="21" t="s">
        <v>20</v>
      </c>
      <c r="D73" s="22">
        <v>250</v>
      </c>
      <c r="E73" s="22">
        <v>253.29</v>
      </c>
      <c r="F73" s="22">
        <v>260</v>
      </c>
      <c r="G73" s="22">
        <v>220</v>
      </c>
      <c r="H73" s="22">
        <v>220</v>
      </c>
      <c r="I73" s="22">
        <v>220</v>
      </c>
      <c r="J73" s="22">
        <v>360</v>
      </c>
      <c r="K73" s="22">
        <v>364.06</v>
      </c>
      <c r="L73" s="22">
        <v>400</v>
      </c>
      <c r="M73" s="22">
        <v>320</v>
      </c>
      <c r="N73" s="22">
        <v>324.89</v>
      </c>
      <c r="O73" s="22">
        <v>340</v>
      </c>
      <c r="P73" s="22">
        <v>240</v>
      </c>
      <c r="Q73" s="22">
        <v>240</v>
      </c>
      <c r="R73" s="22">
        <v>240</v>
      </c>
      <c r="S73" s="22">
        <v>280</v>
      </c>
      <c r="T73" s="22">
        <v>286.51</v>
      </c>
      <c r="U73" s="22">
        <v>300</v>
      </c>
      <c r="V73" s="22">
        <v>260</v>
      </c>
      <c r="W73" s="22">
        <v>277.7</v>
      </c>
      <c r="X73" s="22">
        <v>280</v>
      </c>
      <c r="Y73" s="23">
        <v>9</v>
      </c>
    </row>
    <row r="74" spans="1:25" x14ac:dyDescent="0.3">
      <c r="A74" s="21">
        <v>10</v>
      </c>
      <c r="B74" s="21" t="s">
        <v>30</v>
      </c>
      <c r="C74" s="21" t="s">
        <v>23</v>
      </c>
      <c r="D74" s="22">
        <v>1144</v>
      </c>
      <c r="E74" s="22">
        <v>1144</v>
      </c>
      <c r="F74" s="22">
        <v>1144</v>
      </c>
      <c r="G74" s="22">
        <v>1130</v>
      </c>
      <c r="H74" s="22">
        <v>1130</v>
      </c>
      <c r="I74" s="22">
        <v>1130</v>
      </c>
      <c r="J74" s="22">
        <v>1120</v>
      </c>
      <c r="K74" s="22">
        <v>1145.7</v>
      </c>
      <c r="L74" s="22">
        <v>1160</v>
      </c>
      <c r="M74" s="22">
        <v>1170</v>
      </c>
      <c r="N74" s="22">
        <v>1173.32</v>
      </c>
      <c r="O74" s="22">
        <v>1180</v>
      </c>
      <c r="P74" s="22">
        <v>1150</v>
      </c>
      <c r="Q74" s="22">
        <v>1150</v>
      </c>
      <c r="R74" s="22">
        <v>1150</v>
      </c>
      <c r="S74" s="22">
        <v>1100</v>
      </c>
      <c r="T74" s="22">
        <v>1100</v>
      </c>
      <c r="U74" s="22">
        <v>1100</v>
      </c>
      <c r="V74" s="22">
        <v>1150</v>
      </c>
      <c r="W74" s="22">
        <v>1155.45</v>
      </c>
      <c r="X74" s="22">
        <v>1200</v>
      </c>
      <c r="Y74" s="23">
        <v>10</v>
      </c>
    </row>
    <row r="75" spans="1:25" x14ac:dyDescent="0.3">
      <c r="A75" s="21">
        <v>11</v>
      </c>
      <c r="B75" s="21" t="s">
        <v>31</v>
      </c>
      <c r="C75" s="21" t="s">
        <v>32</v>
      </c>
      <c r="D75" s="22">
        <v>250</v>
      </c>
      <c r="E75" s="22">
        <v>257.7</v>
      </c>
      <c r="F75" s="22">
        <v>270</v>
      </c>
      <c r="G75" s="22">
        <v>240</v>
      </c>
      <c r="H75" s="22">
        <v>240</v>
      </c>
      <c r="I75" s="22">
        <v>240</v>
      </c>
      <c r="J75" s="22">
        <v>255</v>
      </c>
      <c r="K75" s="22">
        <v>259.82</v>
      </c>
      <c r="L75" s="22">
        <v>270</v>
      </c>
      <c r="M75" s="22">
        <v>240</v>
      </c>
      <c r="N75" s="22">
        <v>245.78</v>
      </c>
      <c r="O75" s="22">
        <v>250</v>
      </c>
      <c r="P75" s="22">
        <v>260</v>
      </c>
      <c r="Q75" s="22">
        <v>260</v>
      </c>
      <c r="R75" s="22">
        <v>260</v>
      </c>
      <c r="S75" s="22">
        <v>260</v>
      </c>
      <c r="T75" s="22">
        <v>273.17</v>
      </c>
      <c r="U75" s="22">
        <v>280</v>
      </c>
      <c r="V75" s="22">
        <v>240</v>
      </c>
      <c r="W75" s="22">
        <v>269.74</v>
      </c>
      <c r="X75" s="22">
        <v>280</v>
      </c>
      <c r="Y75" s="23">
        <v>11</v>
      </c>
    </row>
    <row r="76" spans="1:25" x14ac:dyDescent="0.3">
      <c r="A76" s="21">
        <v>12</v>
      </c>
      <c r="B76" s="21" t="s">
        <v>33</v>
      </c>
      <c r="C76" s="21" t="s">
        <v>20</v>
      </c>
      <c r="D76" s="22">
        <v>560</v>
      </c>
      <c r="E76" s="22">
        <v>572.16999999999996</v>
      </c>
      <c r="F76" s="22">
        <v>580</v>
      </c>
      <c r="G76" s="22">
        <v>570</v>
      </c>
      <c r="H76" s="22">
        <v>570</v>
      </c>
      <c r="I76" s="22">
        <v>570</v>
      </c>
      <c r="J76" s="22">
        <v>520</v>
      </c>
      <c r="K76" s="22">
        <v>566.65</v>
      </c>
      <c r="L76" s="22">
        <v>650</v>
      </c>
      <c r="M76" s="22">
        <v>480</v>
      </c>
      <c r="N76" s="22">
        <v>486.58</v>
      </c>
      <c r="O76" s="22">
        <v>500</v>
      </c>
      <c r="P76" s="22">
        <v>460</v>
      </c>
      <c r="Q76" s="22">
        <v>460</v>
      </c>
      <c r="R76" s="22">
        <v>460</v>
      </c>
      <c r="S76" s="22">
        <v>480</v>
      </c>
      <c r="T76" s="22">
        <v>480</v>
      </c>
      <c r="U76" s="22">
        <v>480</v>
      </c>
      <c r="V76" s="22">
        <v>600</v>
      </c>
      <c r="W76" s="22">
        <v>638.65</v>
      </c>
      <c r="X76" s="22">
        <v>650</v>
      </c>
      <c r="Y76" s="23">
        <v>12</v>
      </c>
    </row>
    <row r="77" spans="1:25" x14ac:dyDescent="0.3">
      <c r="A77" s="21">
        <v>13</v>
      </c>
      <c r="B77" s="21" t="s">
        <v>34</v>
      </c>
      <c r="C77" s="21" t="s">
        <v>23</v>
      </c>
      <c r="D77" s="22">
        <v>3065</v>
      </c>
      <c r="E77" s="22">
        <v>3065</v>
      </c>
      <c r="F77" s="22">
        <v>3065</v>
      </c>
      <c r="G77" s="22">
        <v>3109</v>
      </c>
      <c r="H77" s="22">
        <v>3109</v>
      </c>
      <c r="I77" s="22">
        <v>3109</v>
      </c>
      <c r="J77" s="22">
        <v>3045</v>
      </c>
      <c r="K77" s="22">
        <v>3059.53</v>
      </c>
      <c r="L77" s="22">
        <v>3065</v>
      </c>
      <c r="M77" s="22">
        <v>3065</v>
      </c>
      <c r="N77" s="22">
        <v>3065</v>
      </c>
      <c r="O77" s="22">
        <v>3065</v>
      </c>
      <c r="P77" s="22">
        <v>3020</v>
      </c>
      <c r="Q77" s="22">
        <v>3020</v>
      </c>
      <c r="R77" s="22">
        <v>3020</v>
      </c>
      <c r="S77" s="22">
        <v>3110</v>
      </c>
      <c r="T77" s="22">
        <v>3110</v>
      </c>
      <c r="U77" s="22">
        <v>3110</v>
      </c>
      <c r="V77" s="22">
        <v>3065</v>
      </c>
      <c r="W77" s="22">
        <v>3065</v>
      </c>
      <c r="X77" s="22">
        <v>3065</v>
      </c>
      <c r="Y77" s="23">
        <v>13</v>
      </c>
    </row>
    <row r="78" spans="1:25" x14ac:dyDescent="0.3">
      <c r="A78" s="21">
        <v>14</v>
      </c>
      <c r="B78" s="21" t="s">
        <v>35</v>
      </c>
      <c r="C78" s="21" t="s">
        <v>23</v>
      </c>
      <c r="D78" s="22">
        <v>1565</v>
      </c>
      <c r="E78" s="22">
        <v>1565</v>
      </c>
      <c r="F78" s="22">
        <v>1565</v>
      </c>
      <c r="G78" s="22">
        <v>1515</v>
      </c>
      <c r="H78" s="22">
        <v>1515</v>
      </c>
      <c r="I78" s="22">
        <v>1515</v>
      </c>
      <c r="J78" s="22">
        <v>1565</v>
      </c>
      <c r="K78" s="22">
        <v>1565</v>
      </c>
      <c r="L78" s="22">
        <v>1565</v>
      </c>
      <c r="M78" s="22">
        <v>1565</v>
      </c>
      <c r="N78" s="22">
        <v>1565</v>
      </c>
      <c r="O78" s="22">
        <v>1565</v>
      </c>
      <c r="P78" s="22">
        <v>1540</v>
      </c>
      <c r="Q78" s="22">
        <v>1540</v>
      </c>
      <c r="R78" s="22">
        <v>1540</v>
      </c>
      <c r="S78" s="22">
        <v>1500</v>
      </c>
      <c r="T78" s="22">
        <v>1500</v>
      </c>
      <c r="U78" s="22">
        <v>1500</v>
      </c>
      <c r="V78" s="22">
        <v>1565</v>
      </c>
      <c r="W78" s="22">
        <v>1565</v>
      </c>
      <c r="X78" s="22">
        <v>1565</v>
      </c>
      <c r="Y78" s="23">
        <v>14</v>
      </c>
    </row>
    <row r="79" spans="1:25" x14ac:dyDescent="0.3">
      <c r="A79" s="21">
        <v>15</v>
      </c>
      <c r="B79" s="21" t="s">
        <v>36</v>
      </c>
      <c r="C79" s="21" t="s">
        <v>23</v>
      </c>
      <c r="D79" s="22">
        <v>610</v>
      </c>
      <c r="E79" s="22">
        <v>610</v>
      </c>
      <c r="F79" s="22">
        <v>610</v>
      </c>
      <c r="G79" s="22">
        <v>600</v>
      </c>
      <c r="H79" s="22">
        <v>606.65</v>
      </c>
      <c r="I79" s="22">
        <v>610</v>
      </c>
      <c r="J79" s="22">
        <v>610</v>
      </c>
      <c r="K79" s="22">
        <v>610.15</v>
      </c>
      <c r="L79" s="22">
        <v>615</v>
      </c>
      <c r="M79" s="22">
        <v>610</v>
      </c>
      <c r="N79" s="22">
        <v>610</v>
      </c>
      <c r="O79" s="22">
        <v>610</v>
      </c>
      <c r="P79" s="22">
        <v>610</v>
      </c>
      <c r="Q79" s="22">
        <v>610</v>
      </c>
      <c r="R79" s="22">
        <v>610</v>
      </c>
      <c r="S79" s="22">
        <v>592</v>
      </c>
      <c r="T79" s="22">
        <v>592</v>
      </c>
      <c r="U79" s="22">
        <v>592</v>
      </c>
      <c r="V79" s="22">
        <v>610</v>
      </c>
      <c r="W79" s="22">
        <v>610</v>
      </c>
      <c r="X79" s="22">
        <v>610</v>
      </c>
      <c r="Y79" s="23">
        <v>15</v>
      </c>
    </row>
    <row r="80" spans="1:25" x14ac:dyDescent="0.3">
      <c r="A80" s="21">
        <v>16</v>
      </c>
      <c r="B80" s="21" t="s">
        <v>37</v>
      </c>
      <c r="C80" s="21" t="s">
        <v>32</v>
      </c>
      <c r="D80" s="22">
        <v>200</v>
      </c>
      <c r="E80" s="22">
        <v>222.74</v>
      </c>
      <c r="F80" s="22">
        <v>250</v>
      </c>
      <c r="G80" s="22">
        <v>200</v>
      </c>
      <c r="H80" s="22">
        <v>222.4</v>
      </c>
      <c r="I80" s="22">
        <v>250</v>
      </c>
      <c r="J80" s="22">
        <v>120</v>
      </c>
      <c r="K80" s="22">
        <v>159.68</v>
      </c>
      <c r="L80" s="22">
        <v>200</v>
      </c>
      <c r="M80" s="22">
        <v>120</v>
      </c>
      <c r="N80" s="22">
        <v>137.18</v>
      </c>
      <c r="O80" s="22">
        <v>150</v>
      </c>
      <c r="P80" s="22">
        <v>150</v>
      </c>
      <c r="Q80" s="22">
        <v>150</v>
      </c>
      <c r="R80" s="22">
        <v>150</v>
      </c>
      <c r="S80" s="22">
        <v>120</v>
      </c>
      <c r="T80" s="22">
        <v>129.27000000000001</v>
      </c>
      <c r="U80" s="22">
        <v>150</v>
      </c>
      <c r="V80" s="22">
        <v>200</v>
      </c>
      <c r="W80" s="22">
        <v>209.84</v>
      </c>
      <c r="X80" s="22">
        <v>220</v>
      </c>
      <c r="Y80" s="23">
        <v>16</v>
      </c>
    </row>
    <row r="81" spans="1:25" x14ac:dyDescent="0.3">
      <c r="A81" s="21">
        <v>17</v>
      </c>
      <c r="B81" s="21" t="s">
        <v>38</v>
      </c>
      <c r="C81" s="21" t="s">
        <v>20</v>
      </c>
      <c r="D81" s="22">
        <v>300</v>
      </c>
      <c r="E81" s="22">
        <v>314.37</v>
      </c>
      <c r="F81" s="22">
        <v>320</v>
      </c>
      <c r="G81" s="22">
        <v>220</v>
      </c>
      <c r="H81" s="22">
        <v>233</v>
      </c>
      <c r="I81" s="22">
        <v>250</v>
      </c>
      <c r="J81" s="22">
        <v>220</v>
      </c>
      <c r="K81" s="22">
        <v>260.57</v>
      </c>
      <c r="L81" s="22">
        <v>300</v>
      </c>
      <c r="M81" s="22">
        <v>230</v>
      </c>
      <c r="N81" s="22">
        <v>244.78</v>
      </c>
      <c r="O81" s="22">
        <v>260</v>
      </c>
      <c r="P81" s="22">
        <v>220</v>
      </c>
      <c r="Q81" s="22">
        <v>220</v>
      </c>
      <c r="R81" s="22">
        <v>220</v>
      </c>
      <c r="S81" s="22">
        <v>280</v>
      </c>
      <c r="T81" s="22">
        <v>280</v>
      </c>
      <c r="U81" s="22">
        <v>280</v>
      </c>
      <c r="V81" s="22">
        <v>240</v>
      </c>
      <c r="W81" s="22">
        <v>246.53</v>
      </c>
      <c r="X81" s="22">
        <v>260</v>
      </c>
      <c r="Y81" s="23">
        <v>17</v>
      </c>
    </row>
    <row r="82" spans="1:25" x14ac:dyDescent="0.3">
      <c r="A82" s="21">
        <v>18</v>
      </c>
      <c r="B82" s="21" t="s">
        <v>39</v>
      </c>
      <c r="C82" s="21" t="s">
        <v>20</v>
      </c>
      <c r="D82" s="22">
        <v>380</v>
      </c>
      <c r="E82" s="22">
        <v>391.01</v>
      </c>
      <c r="F82" s="22">
        <v>400</v>
      </c>
      <c r="G82" s="22">
        <v>290</v>
      </c>
      <c r="H82" s="22">
        <v>296.63</v>
      </c>
      <c r="I82" s="22">
        <v>300</v>
      </c>
      <c r="J82" s="22">
        <v>350</v>
      </c>
      <c r="K82" s="22">
        <v>379.04</v>
      </c>
      <c r="L82" s="22">
        <v>400</v>
      </c>
      <c r="M82" s="22">
        <v>390</v>
      </c>
      <c r="N82" s="22">
        <v>399.16</v>
      </c>
      <c r="O82" s="22">
        <v>400</v>
      </c>
      <c r="P82" s="22">
        <v>420</v>
      </c>
      <c r="Q82" s="22">
        <v>420</v>
      </c>
      <c r="R82" s="22">
        <v>420</v>
      </c>
      <c r="S82" s="22">
        <v>350</v>
      </c>
      <c r="T82" s="22">
        <v>419.68</v>
      </c>
      <c r="U82" s="22">
        <v>480</v>
      </c>
      <c r="V82" s="22">
        <v>340</v>
      </c>
      <c r="W82" s="22">
        <v>350.97</v>
      </c>
      <c r="X82" s="22">
        <v>370</v>
      </c>
      <c r="Y82" s="23">
        <v>18</v>
      </c>
    </row>
    <row r="83" spans="1:25" x14ac:dyDescent="0.3">
      <c r="A83" s="21">
        <v>19</v>
      </c>
      <c r="B83" s="21" t="s">
        <v>40</v>
      </c>
      <c r="C83" s="21" t="s">
        <v>20</v>
      </c>
      <c r="D83" s="22">
        <v>470</v>
      </c>
      <c r="E83" s="22">
        <v>488.7</v>
      </c>
      <c r="F83" s="22">
        <v>510</v>
      </c>
      <c r="G83" s="22">
        <v>360</v>
      </c>
      <c r="H83" s="22">
        <v>379.73</v>
      </c>
      <c r="I83" s="22">
        <v>390</v>
      </c>
      <c r="J83" s="22">
        <v>400</v>
      </c>
      <c r="K83" s="22">
        <v>443.16</v>
      </c>
      <c r="L83" s="22">
        <v>480</v>
      </c>
      <c r="M83" s="22">
        <v>400</v>
      </c>
      <c r="N83" s="22">
        <v>405.74</v>
      </c>
      <c r="O83" s="22">
        <v>420</v>
      </c>
      <c r="P83" s="22">
        <v>460</v>
      </c>
      <c r="Q83" s="22">
        <v>460</v>
      </c>
      <c r="R83" s="22">
        <v>460</v>
      </c>
      <c r="S83" s="22">
        <v>430</v>
      </c>
      <c r="T83" s="22">
        <v>430</v>
      </c>
      <c r="U83" s="22">
        <v>430</v>
      </c>
      <c r="V83" s="22">
        <v>450</v>
      </c>
      <c r="W83" s="22">
        <v>463.21</v>
      </c>
      <c r="X83" s="22">
        <v>480</v>
      </c>
      <c r="Y83" s="23">
        <v>19</v>
      </c>
    </row>
    <row r="84" spans="1:25" x14ac:dyDescent="0.3">
      <c r="A84" s="21">
        <v>20</v>
      </c>
      <c r="B84" s="21" t="s">
        <v>41</v>
      </c>
      <c r="C84" s="21" t="s">
        <v>20</v>
      </c>
      <c r="D84" s="22">
        <v>240</v>
      </c>
      <c r="E84" s="22">
        <v>245.51</v>
      </c>
      <c r="F84" s="22">
        <v>250</v>
      </c>
      <c r="G84" s="22">
        <v>200</v>
      </c>
      <c r="H84" s="22">
        <v>213.12</v>
      </c>
      <c r="I84" s="22">
        <v>220</v>
      </c>
      <c r="J84" s="22">
        <v>220</v>
      </c>
      <c r="K84" s="22">
        <v>254.69</v>
      </c>
      <c r="L84" s="22">
        <v>280</v>
      </c>
      <c r="M84" s="22">
        <v>230</v>
      </c>
      <c r="N84" s="22">
        <v>241.6</v>
      </c>
      <c r="O84" s="22">
        <v>250</v>
      </c>
      <c r="P84" s="22">
        <v>250</v>
      </c>
      <c r="Q84" s="22">
        <v>250</v>
      </c>
      <c r="R84" s="22">
        <v>250</v>
      </c>
      <c r="S84" s="22">
        <v>260</v>
      </c>
      <c r="T84" s="22">
        <v>273.17</v>
      </c>
      <c r="U84" s="22">
        <v>280</v>
      </c>
      <c r="V84" s="22">
        <v>250</v>
      </c>
      <c r="W84" s="22">
        <v>257.7</v>
      </c>
      <c r="X84" s="22">
        <v>270</v>
      </c>
      <c r="Y84" s="23">
        <v>20</v>
      </c>
    </row>
    <row r="85" spans="1:25" x14ac:dyDescent="0.3">
      <c r="A85" s="21">
        <v>21</v>
      </c>
      <c r="B85" s="21" t="s">
        <v>42</v>
      </c>
      <c r="C85" s="21" t="s">
        <v>20</v>
      </c>
      <c r="D85" s="22">
        <v>60</v>
      </c>
      <c r="E85" s="22">
        <v>63.96</v>
      </c>
      <c r="F85" s="22">
        <v>80</v>
      </c>
      <c r="G85" s="22">
        <v>50</v>
      </c>
      <c r="H85" s="22">
        <v>60.82</v>
      </c>
      <c r="I85" s="22">
        <v>90</v>
      </c>
      <c r="J85" s="22">
        <v>40</v>
      </c>
      <c r="K85" s="22">
        <v>57.6</v>
      </c>
      <c r="L85" s="22">
        <v>70</v>
      </c>
      <c r="M85" s="22">
        <v>40</v>
      </c>
      <c r="N85" s="22">
        <v>48.01</v>
      </c>
      <c r="O85" s="22">
        <v>60</v>
      </c>
      <c r="P85" s="22">
        <v>40</v>
      </c>
      <c r="Q85" s="22">
        <v>40</v>
      </c>
      <c r="R85" s="22">
        <v>40</v>
      </c>
      <c r="S85" s="22">
        <v>40</v>
      </c>
      <c r="T85" s="22">
        <v>43.09</v>
      </c>
      <c r="U85" s="22">
        <v>50</v>
      </c>
      <c r="V85" s="22">
        <v>50</v>
      </c>
      <c r="W85" s="22">
        <v>58.8</v>
      </c>
      <c r="X85" s="22">
        <v>60</v>
      </c>
      <c r="Y85" s="23">
        <v>21</v>
      </c>
    </row>
    <row r="86" spans="1:25" x14ac:dyDescent="0.3">
      <c r="A86" s="21">
        <v>22</v>
      </c>
      <c r="B86" s="21" t="s">
        <v>43</v>
      </c>
      <c r="C86" s="21" t="s">
        <v>20</v>
      </c>
      <c r="D86" s="22">
        <v>100</v>
      </c>
      <c r="E86" s="22">
        <v>101.06</v>
      </c>
      <c r="F86" s="22">
        <v>110</v>
      </c>
      <c r="G86" s="22">
        <v>100</v>
      </c>
      <c r="H86" s="22">
        <v>103.23</v>
      </c>
      <c r="I86" s="22">
        <v>110</v>
      </c>
      <c r="J86" s="22">
        <v>80</v>
      </c>
      <c r="K86" s="22">
        <v>91.65</v>
      </c>
      <c r="L86" s="22">
        <v>100</v>
      </c>
      <c r="M86" s="22">
        <v>80</v>
      </c>
      <c r="N86" s="22">
        <v>95.61</v>
      </c>
      <c r="O86" s="22">
        <v>100</v>
      </c>
      <c r="P86" s="22">
        <v>80</v>
      </c>
      <c r="Q86" s="22">
        <v>80</v>
      </c>
      <c r="R86" s="22">
        <v>80</v>
      </c>
      <c r="S86" s="22">
        <v>80</v>
      </c>
      <c r="T86" s="22">
        <v>92.83</v>
      </c>
      <c r="U86" s="22">
        <v>100</v>
      </c>
      <c r="V86" s="22">
        <v>120</v>
      </c>
      <c r="W86" s="22">
        <v>125.46</v>
      </c>
      <c r="X86" s="22">
        <v>130</v>
      </c>
      <c r="Y86" s="23">
        <v>22</v>
      </c>
    </row>
    <row r="87" spans="1:25" x14ac:dyDescent="0.3">
      <c r="A87" s="21">
        <v>23</v>
      </c>
      <c r="B87" s="21" t="s">
        <v>44</v>
      </c>
      <c r="C87" s="21" t="s">
        <v>20</v>
      </c>
      <c r="D87" s="22">
        <v>320</v>
      </c>
      <c r="E87" s="22">
        <v>334.24</v>
      </c>
      <c r="F87" s="22">
        <v>350</v>
      </c>
      <c r="G87" s="22">
        <v>400</v>
      </c>
      <c r="H87" s="22">
        <v>400</v>
      </c>
      <c r="I87" s="22">
        <v>400</v>
      </c>
      <c r="J87" s="22">
        <v>280</v>
      </c>
      <c r="K87" s="22">
        <v>314.83</v>
      </c>
      <c r="L87" s="22">
        <v>350</v>
      </c>
      <c r="M87" s="22">
        <v>280</v>
      </c>
      <c r="N87" s="22">
        <v>293.20999999999998</v>
      </c>
      <c r="O87" s="22">
        <v>300</v>
      </c>
      <c r="P87" s="22">
        <v>300</v>
      </c>
      <c r="Q87" s="22">
        <v>300</v>
      </c>
      <c r="R87" s="22">
        <v>300</v>
      </c>
      <c r="S87" s="22">
        <v>280</v>
      </c>
      <c r="T87" s="22">
        <v>293.18</v>
      </c>
      <c r="U87" s="22">
        <v>300</v>
      </c>
      <c r="V87" s="22">
        <v>360</v>
      </c>
      <c r="W87" s="22">
        <v>417.35</v>
      </c>
      <c r="X87" s="22">
        <v>450</v>
      </c>
      <c r="Y87" s="23">
        <v>23</v>
      </c>
    </row>
    <row r="88" spans="1:25" x14ac:dyDescent="0.3">
      <c r="A88" s="21">
        <v>24</v>
      </c>
      <c r="B88" s="21" t="s">
        <v>45</v>
      </c>
      <c r="C88" s="21" t="s">
        <v>20</v>
      </c>
      <c r="D88" s="22">
        <v>148</v>
      </c>
      <c r="E88" s="22">
        <v>149.78</v>
      </c>
      <c r="F88" s="22">
        <v>150</v>
      </c>
      <c r="G88" s="22">
        <v>140</v>
      </c>
      <c r="H88" s="22">
        <v>141.65</v>
      </c>
      <c r="I88" s="22">
        <v>145</v>
      </c>
      <c r="J88" s="22">
        <v>145</v>
      </c>
      <c r="K88" s="22">
        <v>149.66999999999999</v>
      </c>
      <c r="L88" s="22">
        <v>155</v>
      </c>
      <c r="M88" s="22">
        <v>140</v>
      </c>
      <c r="N88" s="22">
        <v>142.82</v>
      </c>
      <c r="O88" s="22">
        <v>145</v>
      </c>
      <c r="P88" s="22">
        <v>140</v>
      </c>
      <c r="Q88" s="22">
        <v>140</v>
      </c>
      <c r="R88" s="22">
        <v>140</v>
      </c>
      <c r="S88" s="22">
        <v>145</v>
      </c>
      <c r="T88" s="22">
        <v>148.31</v>
      </c>
      <c r="U88" s="22">
        <v>150</v>
      </c>
      <c r="V88" s="22">
        <v>150</v>
      </c>
      <c r="W88" s="22">
        <v>153.26</v>
      </c>
      <c r="X88" s="22">
        <v>160</v>
      </c>
      <c r="Y88" s="23">
        <v>24</v>
      </c>
    </row>
    <row r="89" spans="1:25" x14ac:dyDescent="0.3">
      <c r="A89" s="21">
        <v>25</v>
      </c>
      <c r="B89" s="21" t="s">
        <v>46</v>
      </c>
      <c r="C89" s="21" t="s">
        <v>20</v>
      </c>
      <c r="D89" s="22">
        <v>230</v>
      </c>
      <c r="E89" s="22">
        <v>241.04</v>
      </c>
      <c r="F89" s="22">
        <v>250</v>
      </c>
      <c r="G89" s="22">
        <v>160</v>
      </c>
      <c r="H89" s="22">
        <v>169.8</v>
      </c>
      <c r="I89" s="22">
        <v>180</v>
      </c>
      <c r="J89" s="22">
        <v>240</v>
      </c>
      <c r="K89" s="22">
        <v>264.35000000000002</v>
      </c>
      <c r="L89" s="22">
        <v>280</v>
      </c>
      <c r="M89" s="22">
        <v>240</v>
      </c>
      <c r="N89" s="22">
        <v>244.95</v>
      </c>
      <c r="O89" s="22">
        <v>250</v>
      </c>
      <c r="P89" s="22">
        <v>200</v>
      </c>
      <c r="Q89" s="22">
        <v>200</v>
      </c>
      <c r="R89" s="22">
        <v>200</v>
      </c>
      <c r="S89" s="22">
        <v>180</v>
      </c>
      <c r="T89" s="22">
        <v>183.27</v>
      </c>
      <c r="U89" s="22">
        <v>190</v>
      </c>
      <c r="V89" s="22">
        <v>250</v>
      </c>
      <c r="W89" s="22">
        <v>256.5</v>
      </c>
      <c r="X89" s="22">
        <v>270</v>
      </c>
      <c r="Y89" s="23">
        <v>25</v>
      </c>
    </row>
    <row r="90" spans="1:25" x14ac:dyDescent="0.3">
      <c r="A90" s="21">
        <v>26</v>
      </c>
      <c r="B90" s="21" t="s">
        <v>47</v>
      </c>
      <c r="C90" s="21" t="s">
        <v>23</v>
      </c>
      <c r="D90" s="22">
        <v>60</v>
      </c>
      <c r="E90" s="22">
        <v>60</v>
      </c>
      <c r="F90" s="22">
        <v>60</v>
      </c>
      <c r="G90" s="22">
        <v>60</v>
      </c>
      <c r="H90" s="22">
        <v>63.16</v>
      </c>
      <c r="I90" s="22">
        <v>70</v>
      </c>
      <c r="J90" s="22">
        <v>60</v>
      </c>
      <c r="K90" s="22">
        <v>65.849999999999994</v>
      </c>
      <c r="L90" s="22">
        <v>80</v>
      </c>
      <c r="M90" s="22">
        <v>60</v>
      </c>
      <c r="N90" s="22">
        <v>63.16</v>
      </c>
      <c r="O90" s="22">
        <v>70</v>
      </c>
      <c r="P90" s="22">
        <v>60</v>
      </c>
      <c r="Q90" s="22">
        <v>60</v>
      </c>
      <c r="R90" s="22">
        <v>60</v>
      </c>
      <c r="S90" s="22">
        <v>70</v>
      </c>
      <c r="T90" s="22">
        <v>70</v>
      </c>
      <c r="U90" s="22">
        <v>70</v>
      </c>
      <c r="V90" s="22">
        <v>60</v>
      </c>
      <c r="W90" s="22">
        <v>60</v>
      </c>
      <c r="X90" s="22">
        <v>60</v>
      </c>
      <c r="Y90" s="23">
        <v>26</v>
      </c>
    </row>
    <row r="91" spans="1:25" x14ac:dyDescent="0.3">
      <c r="A91" s="21">
        <v>27</v>
      </c>
      <c r="B91" s="21" t="s">
        <v>48</v>
      </c>
      <c r="C91" s="21" t="s">
        <v>23</v>
      </c>
      <c r="D91" s="22">
        <v>380</v>
      </c>
      <c r="E91" s="22">
        <v>380</v>
      </c>
      <c r="F91" s="22">
        <v>380</v>
      </c>
      <c r="G91" s="22">
        <v>380</v>
      </c>
      <c r="H91" s="22">
        <v>380</v>
      </c>
      <c r="I91" s="22">
        <v>380</v>
      </c>
      <c r="J91" s="22">
        <v>380</v>
      </c>
      <c r="K91" s="22">
        <v>380</v>
      </c>
      <c r="L91" s="22">
        <v>380</v>
      </c>
      <c r="M91" s="22">
        <v>380</v>
      </c>
      <c r="N91" s="22">
        <v>380</v>
      </c>
      <c r="O91" s="22">
        <v>380</v>
      </c>
      <c r="P91" s="22">
        <v>380</v>
      </c>
      <c r="Q91" s="22">
        <v>380</v>
      </c>
      <c r="R91" s="22">
        <v>380</v>
      </c>
      <c r="S91" s="22">
        <v>320</v>
      </c>
      <c r="T91" s="22">
        <v>320</v>
      </c>
      <c r="U91" s="22">
        <v>320</v>
      </c>
      <c r="V91" s="22">
        <v>380</v>
      </c>
      <c r="W91" s="22">
        <v>380</v>
      </c>
      <c r="X91" s="22">
        <v>380</v>
      </c>
      <c r="Y91" s="23">
        <v>27</v>
      </c>
    </row>
    <row r="92" spans="1:25" x14ac:dyDescent="0.3">
      <c r="A92" s="21">
        <v>28</v>
      </c>
      <c r="B92" s="21" t="s">
        <v>49</v>
      </c>
      <c r="C92" s="21" t="s">
        <v>20</v>
      </c>
      <c r="D92" s="22">
        <v>400</v>
      </c>
      <c r="E92" s="22">
        <v>404.26</v>
      </c>
      <c r="F92" s="22">
        <v>440</v>
      </c>
      <c r="G92" s="22">
        <v>300</v>
      </c>
      <c r="H92" s="22">
        <v>337.37</v>
      </c>
      <c r="I92" s="22">
        <v>400</v>
      </c>
      <c r="J92" s="22">
        <v>320</v>
      </c>
      <c r="K92" s="22">
        <v>397.54</v>
      </c>
      <c r="L92" s="22">
        <v>540</v>
      </c>
      <c r="M92" s="22">
        <v>300</v>
      </c>
      <c r="N92" s="22">
        <v>311.51</v>
      </c>
      <c r="O92" s="22">
        <v>320</v>
      </c>
      <c r="P92" s="22">
        <v>300</v>
      </c>
      <c r="Q92" s="22">
        <v>300</v>
      </c>
      <c r="R92" s="22">
        <v>300</v>
      </c>
      <c r="S92" s="22">
        <v>280</v>
      </c>
      <c r="T92" s="22">
        <v>293.18</v>
      </c>
      <c r="U92" s="22">
        <v>300</v>
      </c>
      <c r="V92" s="22">
        <v>250</v>
      </c>
      <c r="W92" s="22">
        <v>393.27</v>
      </c>
      <c r="X92" s="22">
        <v>500</v>
      </c>
      <c r="Y92" s="23">
        <v>28</v>
      </c>
    </row>
    <row r="93" spans="1:25" x14ac:dyDescent="0.3">
      <c r="A93" s="21">
        <v>29</v>
      </c>
      <c r="B93" s="21" t="s">
        <v>50</v>
      </c>
      <c r="C93" s="21" t="s">
        <v>23</v>
      </c>
      <c r="D93" s="22">
        <v>469.41</v>
      </c>
      <c r="E93" s="22">
        <v>469.41</v>
      </c>
      <c r="F93" s="22">
        <v>469.41</v>
      </c>
      <c r="G93" s="22">
        <v>447</v>
      </c>
      <c r="H93" s="22">
        <v>447</v>
      </c>
      <c r="I93" s="22">
        <v>447</v>
      </c>
      <c r="J93" s="22">
        <v>447.06</v>
      </c>
      <c r="K93" s="22">
        <v>456.41</v>
      </c>
      <c r="L93" s="22">
        <v>469.42</v>
      </c>
      <c r="M93" s="22">
        <v>447.06</v>
      </c>
      <c r="N93" s="22">
        <v>447.06</v>
      </c>
      <c r="O93" s="22">
        <v>447.06</v>
      </c>
      <c r="P93" s="22">
        <v>469.41</v>
      </c>
      <c r="Q93" s="22">
        <v>469.41</v>
      </c>
      <c r="R93" s="22">
        <v>469.41</v>
      </c>
      <c r="S93" s="22">
        <v>447.05</v>
      </c>
      <c r="T93" s="22">
        <v>447.05</v>
      </c>
      <c r="U93" s="22">
        <v>447.05</v>
      </c>
      <c r="V93" s="22">
        <v>469.4</v>
      </c>
      <c r="W93" s="22">
        <v>469.41</v>
      </c>
      <c r="X93" s="22">
        <v>469.41</v>
      </c>
      <c r="Y93" s="23">
        <v>29</v>
      </c>
    </row>
    <row r="94" spans="1:25" x14ac:dyDescent="0.3">
      <c r="A94" s="21">
        <v>30</v>
      </c>
      <c r="B94" s="21" t="s">
        <v>51</v>
      </c>
      <c r="C94" s="21" t="s">
        <v>52</v>
      </c>
      <c r="D94" s="22">
        <v>300</v>
      </c>
      <c r="E94" s="22">
        <v>325.91000000000003</v>
      </c>
      <c r="F94" s="22">
        <v>350</v>
      </c>
      <c r="G94" s="22">
        <v>300</v>
      </c>
      <c r="H94" s="22">
        <v>309.68</v>
      </c>
      <c r="I94" s="22">
        <v>330</v>
      </c>
      <c r="J94" s="22">
        <v>300</v>
      </c>
      <c r="K94" s="22">
        <v>373.12</v>
      </c>
      <c r="L94" s="22">
        <v>450</v>
      </c>
      <c r="M94" s="22">
        <v>320</v>
      </c>
      <c r="N94" s="22">
        <v>329.7</v>
      </c>
      <c r="O94" s="22">
        <v>350</v>
      </c>
      <c r="P94" s="22">
        <v>200</v>
      </c>
      <c r="Q94" s="22">
        <v>200</v>
      </c>
      <c r="R94" s="22">
        <v>200</v>
      </c>
      <c r="S94" s="22">
        <v>250</v>
      </c>
      <c r="T94" s="22">
        <v>282.31</v>
      </c>
      <c r="U94" s="22">
        <v>300</v>
      </c>
      <c r="V94" s="22">
        <v>300</v>
      </c>
      <c r="W94" s="22">
        <v>300</v>
      </c>
      <c r="X94" s="22">
        <v>300</v>
      </c>
      <c r="Y94" s="23">
        <v>30</v>
      </c>
    </row>
    <row r="95" spans="1:25" x14ac:dyDescent="0.3">
      <c r="A95" s="21">
        <v>31</v>
      </c>
      <c r="B95" s="21" t="s">
        <v>53</v>
      </c>
      <c r="C95" s="21" t="s">
        <v>52</v>
      </c>
      <c r="D95" s="22">
        <v>150</v>
      </c>
      <c r="E95" s="22">
        <v>155.47999999999999</v>
      </c>
      <c r="F95" s="22">
        <v>160</v>
      </c>
      <c r="G95" s="22">
        <v>170</v>
      </c>
      <c r="H95" s="22">
        <v>173.27</v>
      </c>
      <c r="I95" s="22">
        <v>180</v>
      </c>
      <c r="J95" s="22">
        <v>170</v>
      </c>
      <c r="K95" s="22">
        <v>184.29</v>
      </c>
      <c r="L95" s="22">
        <v>200</v>
      </c>
      <c r="M95" s="22">
        <v>170</v>
      </c>
      <c r="N95" s="22">
        <v>177.45</v>
      </c>
      <c r="O95" s="22">
        <v>180</v>
      </c>
      <c r="P95" s="22">
        <v>160</v>
      </c>
      <c r="Q95" s="22">
        <v>160</v>
      </c>
      <c r="R95" s="22">
        <v>160</v>
      </c>
      <c r="S95" s="22">
        <v>150</v>
      </c>
      <c r="T95" s="22">
        <v>169.39</v>
      </c>
      <c r="U95" s="22">
        <v>180</v>
      </c>
      <c r="V95" s="22">
        <v>150</v>
      </c>
      <c r="W95" s="22">
        <v>151.08000000000001</v>
      </c>
      <c r="X95" s="22">
        <v>160</v>
      </c>
      <c r="Y95" s="23">
        <v>31</v>
      </c>
    </row>
    <row r="96" spans="1:25" x14ac:dyDescent="0.3">
      <c r="A96" s="21">
        <v>32</v>
      </c>
      <c r="B96" s="21" t="s">
        <v>54</v>
      </c>
      <c r="C96" s="21" t="s">
        <v>55</v>
      </c>
      <c r="D96" s="22">
        <v>80</v>
      </c>
      <c r="E96" s="22">
        <v>80</v>
      </c>
      <c r="F96" s="22">
        <v>80</v>
      </c>
      <c r="G96" s="22">
        <v>50</v>
      </c>
      <c r="H96" s="22">
        <v>50</v>
      </c>
      <c r="I96" s="22">
        <v>50</v>
      </c>
      <c r="J96" s="22">
        <v>70</v>
      </c>
      <c r="K96" s="22">
        <v>70.849999999999994</v>
      </c>
      <c r="L96" s="22">
        <v>80</v>
      </c>
      <c r="M96" s="22">
        <v>70</v>
      </c>
      <c r="N96" s="22">
        <v>72.38</v>
      </c>
      <c r="O96" s="22">
        <v>80</v>
      </c>
      <c r="P96" s="22">
        <v>70</v>
      </c>
      <c r="Q96" s="22">
        <v>70</v>
      </c>
      <c r="R96" s="22">
        <v>70</v>
      </c>
      <c r="S96" s="22">
        <v>70</v>
      </c>
      <c r="T96" s="22">
        <v>76.52</v>
      </c>
      <c r="U96" s="22">
        <v>80</v>
      </c>
      <c r="V96" s="22">
        <v>50</v>
      </c>
      <c r="W96" s="22">
        <v>54.22</v>
      </c>
      <c r="X96" s="22">
        <v>60</v>
      </c>
      <c r="Y96" s="23">
        <v>32</v>
      </c>
    </row>
    <row r="97" spans="1:25" x14ac:dyDescent="0.3">
      <c r="A97" s="21">
        <v>33</v>
      </c>
      <c r="B97" s="21" t="s">
        <v>56</v>
      </c>
      <c r="C97" s="21" t="s">
        <v>23</v>
      </c>
      <c r="D97" s="22">
        <v>250</v>
      </c>
      <c r="E97" s="22">
        <v>250</v>
      </c>
      <c r="F97" s="22">
        <v>250</v>
      </c>
      <c r="G97" s="22">
        <v>240</v>
      </c>
      <c r="H97" s="22">
        <v>240</v>
      </c>
      <c r="I97" s="22">
        <v>240</v>
      </c>
      <c r="J97" s="22">
        <v>250</v>
      </c>
      <c r="K97" s="22">
        <v>250.89</v>
      </c>
      <c r="L97" s="22">
        <v>260</v>
      </c>
      <c r="M97" s="22">
        <v>250</v>
      </c>
      <c r="N97" s="22">
        <v>253.29</v>
      </c>
      <c r="O97" s="22">
        <v>260</v>
      </c>
      <c r="P97" s="22">
        <v>260</v>
      </c>
      <c r="Q97" s="22">
        <v>260</v>
      </c>
      <c r="R97" s="22">
        <v>260</v>
      </c>
      <c r="S97" s="22">
        <v>240</v>
      </c>
      <c r="T97" s="22">
        <v>240</v>
      </c>
      <c r="U97" s="22">
        <v>240</v>
      </c>
      <c r="V97" s="22">
        <v>270</v>
      </c>
      <c r="W97" s="22">
        <v>270</v>
      </c>
      <c r="X97" s="22">
        <v>270</v>
      </c>
      <c r="Y97" s="23">
        <v>33</v>
      </c>
    </row>
    <row r="98" spans="1:25" x14ac:dyDescent="0.3">
      <c r="A98" s="21">
        <v>34</v>
      </c>
      <c r="B98" s="21" t="s">
        <v>57</v>
      </c>
      <c r="C98" s="21" t="s">
        <v>58</v>
      </c>
      <c r="D98" s="22">
        <v>800</v>
      </c>
      <c r="E98" s="22">
        <v>800</v>
      </c>
      <c r="F98" s="22">
        <v>800</v>
      </c>
      <c r="G98" s="22">
        <v>780</v>
      </c>
      <c r="H98" s="22">
        <v>793.28</v>
      </c>
      <c r="I98" s="22">
        <v>800</v>
      </c>
      <c r="J98" s="22">
        <v>700</v>
      </c>
      <c r="K98" s="22">
        <v>732.95</v>
      </c>
      <c r="L98" s="22">
        <v>750</v>
      </c>
      <c r="M98" s="22">
        <v>600</v>
      </c>
      <c r="N98" s="22">
        <v>606.59</v>
      </c>
      <c r="O98" s="22">
        <v>620</v>
      </c>
      <c r="P98" s="22">
        <v>500</v>
      </c>
      <c r="Q98" s="22">
        <v>500</v>
      </c>
      <c r="R98" s="22">
        <v>500</v>
      </c>
      <c r="S98" s="22">
        <v>600</v>
      </c>
      <c r="T98" s="22">
        <v>646.33000000000004</v>
      </c>
      <c r="U98" s="22">
        <v>750</v>
      </c>
      <c r="V98" s="22">
        <v>800</v>
      </c>
      <c r="W98" s="22">
        <v>800</v>
      </c>
      <c r="X98" s="22">
        <v>800</v>
      </c>
      <c r="Y98" s="23">
        <v>34</v>
      </c>
    </row>
    <row r="99" spans="1:25" x14ac:dyDescent="0.3">
      <c r="A99" s="21">
        <v>35</v>
      </c>
      <c r="B99" s="21" t="s">
        <v>59</v>
      </c>
      <c r="C99" s="21" t="s">
        <v>58</v>
      </c>
      <c r="D99" s="22">
        <v>480</v>
      </c>
      <c r="E99" s="22">
        <v>520.70000000000005</v>
      </c>
      <c r="F99" s="22">
        <v>535</v>
      </c>
      <c r="G99" s="22">
        <v>580</v>
      </c>
      <c r="H99" s="22">
        <v>586.59</v>
      </c>
      <c r="I99" s="22">
        <v>600</v>
      </c>
      <c r="J99" s="22">
        <v>550</v>
      </c>
      <c r="K99" s="22">
        <v>650.25</v>
      </c>
      <c r="L99" s="22">
        <v>750</v>
      </c>
      <c r="M99" s="22">
        <v>580</v>
      </c>
      <c r="N99" s="22">
        <v>603.23</v>
      </c>
      <c r="O99" s="22">
        <v>620</v>
      </c>
      <c r="P99" s="22">
        <v>350</v>
      </c>
      <c r="Q99" s="22">
        <v>350</v>
      </c>
      <c r="R99" s="22">
        <v>350</v>
      </c>
      <c r="S99" s="22">
        <v>450</v>
      </c>
      <c r="T99" s="22">
        <v>482.74</v>
      </c>
      <c r="U99" s="22">
        <v>500</v>
      </c>
      <c r="V99" s="22">
        <v>750</v>
      </c>
      <c r="W99" s="22">
        <v>760.83</v>
      </c>
      <c r="X99" s="22">
        <v>800</v>
      </c>
      <c r="Y99" s="23">
        <v>35</v>
      </c>
    </row>
    <row r="100" spans="1:25" x14ac:dyDescent="0.3">
      <c r="A100" s="21">
        <v>36</v>
      </c>
      <c r="B100" s="21" t="s">
        <v>60</v>
      </c>
      <c r="C100" s="21" t="s">
        <v>58</v>
      </c>
      <c r="D100" s="22">
        <v>793.93</v>
      </c>
      <c r="E100" s="22">
        <v>793.93</v>
      </c>
      <c r="F100" s="22">
        <v>793.93</v>
      </c>
      <c r="G100" s="22">
        <v>816.66</v>
      </c>
      <c r="H100" s="22">
        <v>818.89</v>
      </c>
      <c r="I100" s="22">
        <v>820</v>
      </c>
      <c r="J100" s="22">
        <v>700</v>
      </c>
      <c r="K100" s="22">
        <v>722.3</v>
      </c>
      <c r="L100" s="22">
        <v>750</v>
      </c>
      <c r="M100" s="22">
        <v>550</v>
      </c>
      <c r="N100" s="22">
        <v>591.30999999999995</v>
      </c>
      <c r="O100" s="22">
        <v>620</v>
      </c>
      <c r="P100" s="22">
        <v>550</v>
      </c>
      <c r="Q100" s="22">
        <v>550</v>
      </c>
      <c r="R100" s="22">
        <v>550</v>
      </c>
      <c r="S100" s="22">
        <v>600</v>
      </c>
      <c r="T100" s="22">
        <v>632.89</v>
      </c>
      <c r="U100" s="22">
        <v>650</v>
      </c>
      <c r="V100" s="22">
        <v>850</v>
      </c>
      <c r="W100" s="22">
        <v>888.64</v>
      </c>
      <c r="X100" s="22">
        <v>900</v>
      </c>
      <c r="Y100" s="23">
        <v>36</v>
      </c>
    </row>
    <row r="101" spans="1:25" x14ac:dyDescent="0.3">
      <c r="A101" s="21">
        <v>37</v>
      </c>
      <c r="B101" s="21" t="s">
        <v>61</v>
      </c>
      <c r="C101" s="21" t="s">
        <v>58</v>
      </c>
      <c r="D101" s="22">
        <v>300</v>
      </c>
      <c r="E101" s="22">
        <v>327.54000000000002</v>
      </c>
      <c r="F101" s="22">
        <v>350</v>
      </c>
      <c r="G101" s="22">
        <v>300</v>
      </c>
      <c r="H101" s="22">
        <v>300</v>
      </c>
      <c r="I101" s="22">
        <v>300</v>
      </c>
      <c r="J101" s="22">
        <v>350</v>
      </c>
      <c r="K101" s="22">
        <v>387.9</v>
      </c>
      <c r="L101" s="22">
        <v>450</v>
      </c>
      <c r="M101" s="22">
        <v>300</v>
      </c>
      <c r="N101" s="22">
        <v>311.51</v>
      </c>
      <c r="O101" s="22">
        <v>320</v>
      </c>
      <c r="P101" s="22">
        <v>200</v>
      </c>
      <c r="Q101" s="22">
        <v>206.46</v>
      </c>
      <c r="R101" s="22">
        <v>220</v>
      </c>
      <c r="S101" s="22">
        <v>350</v>
      </c>
      <c r="T101" s="22">
        <v>382.59</v>
      </c>
      <c r="U101" s="22">
        <v>400</v>
      </c>
      <c r="V101" s="22">
        <v>300</v>
      </c>
      <c r="W101" s="22">
        <v>300</v>
      </c>
      <c r="X101" s="22">
        <v>300</v>
      </c>
      <c r="Y101" s="23">
        <v>37</v>
      </c>
    </row>
    <row r="102" spans="1:25" x14ac:dyDescent="0.3">
      <c r="A102" s="21">
        <v>38</v>
      </c>
      <c r="B102" s="21" t="s">
        <v>62</v>
      </c>
      <c r="C102" s="21" t="s">
        <v>63</v>
      </c>
      <c r="D102" s="22">
        <v>2499</v>
      </c>
      <c r="E102" s="22">
        <v>2499</v>
      </c>
      <c r="F102" s="22">
        <v>2499</v>
      </c>
      <c r="G102" s="22">
        <v>2499</v>
      </c>
      <c r="H102" s="22">
        <v>2499</v>
      </c>
      <c r="I102" s="22">
        <v>2499</v>
      </c>
      <c r="J102" s="22">
        <v>2499</v>
      </c>
      <c r="K102" s="22">
        <v>2499</v>
      </c>
      <c r="L102" s="22">
        <v>2499</v>
      </c>
      <c r="M102" s="22">
        <v>2499</v>
      </c>
      <c r="N102" s="22">
        <v>2499</v>
      </c>
      <c r="O102" s="22">
        <v>2499</v>
      </c>
      <c r="P102" s="22">
        <v>2499</v>
      </c>
      <c r="Q102" s="22">
        <v>2499</v>
      </c>
      <c r="R102" s="22">
        <v>2499</v>
      </c>
      <c r="S102" s="22">
        <v>2499</v>
      </c>
      <c r="T102" s="22">
        <v>2499</v>
      </c>
      <c r="U102" s="22">
        <v>2499</v>
      </c>
      <c r="V102" s="22">
        <v>2499</v>
      </c>
      <c r="W102" s="22">
        <v>2499</v>
      </c>
      <c r="X102" s="22">
        <v>2499</v>
      </c>
      <c r="Y102" s="23">
        <v>38</v>
      </c>
    </row>
    <row r="103" spans="1:25" x14ac:dyDescent="0.3">
      <c r="A103" s="21">
        <v>39</v>
      </c>
      <c r="B103" s="21" t="s">
        <v>64</v>
      </c>
      <c r="C103" s="21" t="s">
        <v>63</v>
      </c>
      <c r="D103" s="22">
        <v>699</v>
      </c>
      <c r="E103" s="22">
        <v>699</v>
      </c>
      <c r="F103" s="22">
        <v>699</v>
      </c>
      <c r="G103" s="22">
        <v>699</v>
      </c>
      <c r="H103" s="22">
        <v>699</v>
      </c>
      <c r="I103" s="22">
        <v>699</v>
      </c>
      <c r="J103" s="22">
        <v>699</v>
      </c>
      <c r="K103" s="22">
        <v>699</v>
      </c>
      <c r="L103" s="22">
        <v>699</v>
      </c>
      <c r="M103" s="22">
        <v>699</v>
      </c>
      <c r="N103" s="22">
        <v>699</v>
      </c>
      <c r="O103" s="22">
        <v>699</v>
      </c>
      <c r="P103" s="22">
        <v>699</v>
      </c>
      <c r="Q103" s="22">
        <v>699</v>
      </c>
      <c r="R103" s="22">
        <v>699</v>
      </c>
      <c r="S103" s="22">
        <v>699</v>
      </c>
      <c r="T103" s="22">
        <v>699</v>
      </c>
      <c r="U103" s="22">
        <v>699</v>
      </c>
      <c r="V103" s="22">
        <v>699</v>
      </c>
      <c r="W103" s="22">
        <v>699</v>
      </c>
      <c r="X103" s="22">
        <v>699</v>
      </c>
      <c r="Y103" s="23">
        <v>39</v>
      </c>
    </row>
    <row r="104" spans="1:25" x14ac:dyDescent="0.3">
      <c r="A104" s="21">
        <v>40</v>
      </c>
      <c r="B104" s="21" t="s">
        <v>65</v>
      </c>
      <c r="C104" s="21" t="s">
        <v>63</v>
      </c>
      <c r="D104" s="22">
        <v>1499</v>
      </c>
      <c r="E104" s="22">
        <v>1499</v>
      </c>
      <c r="F104" s="22">
        <v>1499</v>
      </c>
      <c r="G104" s="22">
        <v>1499</v>
      </c>
      <c r="H104" s="22">
        <v>1499</v>
      </c>
      <c r="I104" s="22">
        <v>1499</v>
      </c>
      <c r="J104" s="22">
        <v>1499</v>
      </c>
      <c r="K104" s="22">
        <v>1499</v>
      </c>
      <c r="L104" s="22">
        <v>1499</v>
      </c>
      <c r="M104" s="22">
        <v>1499</v>
      </c>
      <c r="N104" s="22">
        <v>1499</v>
      </c>
      <c r="O104" s="22">
        <v>1499</v>
      </c>
      <c r="P104" s="22">
        <v>1499</v>
      </c>
      <c r="Q104" s="22">
        <v>1499</v>
      </c>
      <c r="R104" s="22">
        <v>1499</v>
      </c>
      <c r="S104" s="22">
        <v>1499</v>
      </c>
      <c r="T104" s="22">
        <v>1499</v>
      </c>
      <c r="U104" s="22">
        <v>1499</v>
      </c>
      <c r="V104" s="22">
        <v>1499</v>
      </c>
      <c r="W104" s="22">
        <v>1499</v>
      </c>
      <c r="X104" s="22">
        <v>1499</v>
      </c>
      <c r="Y104" s="23">
        <v>40</v>
      </c>
    </row>
    <row r="105" spans="1:25" x14ac:dyDescent="0.3">
      <c r="A105" s="21">
        <v>41</v>
      </c>
      <c r="B105" s="21" t="s">
        <v>68</v>
      </c>
      <c r="C105" s="21" t="s">
        <v>67</v>
      </c>
      <c r="D105" s="22">
        <v>6.95</v>
      </c>
      <c r="E105" s="22">
        <v>6.95</v>
      </c>
      <c r="F105" s="22">
        <v>6.95</v>
      </c>
      <c r="G105" s="22">
        <v>6.95</v>
      </c>
      <c r="H105" s="22">
        <v>6.95</v>
      </c>
      <c r="I105" s="22">
        <v>6.95</v>
      </c>
      <c r="J105" s="22">
        <v>6.95</v>
      </c>
      <c r="K105" s="22">
        <v>6.95</v>
      </c>
      <c r="L105" s="22">
        <v>6.95</v>
      </c>
      <c r="M105" s="22">
        <v>6.95</v>
      </c>
      <c r="N105" s="22">
        <v>6.95</v>
      </c>
      <c r="O105" s="22">
        <v>6.95</v>
      </c>
      <c r="P105" s="22">
        <v>6.95</v>
      </c>
      <c r="Q105" s="22">
        <v>6.95</v>
      </c>
      <c r="R105" s="22">
        <v>6.95</v>
      </c>
      <c r="S105" s="22">
        <v>6.95</v>
      </c>
      <c r="T105" s="22">
        <v>6.95</v>
      </c>
      <c r="U105" s="22">
        <v>6.95</v>
      </c>
      <c r="V105" s="22">
        <v>6.95</v>
      </c>
      <c r="W105" s="22">
        <v>6.95</v>
      </c>
      <c r="X105" s="22">
        <v>6.95</v>
      </c>
      <c r="Y105" s="23">
        <v>41</v>
      </c>
    </row>
    <row r="106" spans="1:25" x14ac:dyDescent="0.3">
      <c r="A106" s="21">
        <v>42</v>
      </c>
      <c r="B106" s="21" t="s">
        <v>404</v>
      </c>
      <c r="C106" s="21" t="s">
        <v>69</v>
      </c>
      <c r="D106" s="22">
        <v>2566.5</v>
      </c>
      <c r="E106" s="22">
        <v>2566.5</v>
      </c>
      <c r="F106" s="22">
        <v>2566.5</v>
      </c>
      <c r="G106" s="22">
        <v>2566.5</v>
      </c>
      <c r="H106" s="22">
        <v>2566.5</v>
      </c>
      <c r="I106" s="22">
        <v>2566.5</v>
      </c>
      <c r="J106" s="22">
        <v>2566.5</v>
      </c>
      <c r="K106" s="22">
        <v>2566.5</v>
      </c>
      <c r="L106" s="22">
        <v>2566.5</v>
      </c>
      <c r="M106" s="22">
        <v>2566.5</v>
      </c>
      <c r="N106" s="22">
        <v>2566.5</v>
      </c>
      <c r="O106" s="22">
        <v>2566.5</v>
      </c>
      <c r="P106" s="22">
        <v>2566.5</v>
      </c>
      <c r="Q106" s="22">
        <v>2566.5</v>
      </c>
      <c r="R106" s="22">
        <v>2566.5</v>
      </c>
      <c r="S106" s="22">
        <v>2566.5</v>
      </c>
      <c r="T106" s="22">
        <v>2566.5</v>
      </c>
      <c r="U106" s="22">
        <v>2566.5</v>
      </c>
      <c r="V106" s="22">
        <v>2566.5</v>
      </c>
      <c r="W106" s="22">
        <v>2566.5</v>
      </c>
      <c r="X106" s="22">
        <v>2566.5</v>
      </c>
      <c r="Y106" s="23">
        <v>42</v>
      </c>
    </row>
    <row r="107" spans="1:25" x14ac:dyDescent="0.3">
      <c r="A107" s="21">
        <v>43</v>
      </c>
      <c r="B107" s="21" t="s">
        <v>70</v>
      </c>
      <c r="C107" s="21" t="s">
        <v>71</v>
      </c>
      <c r="D107" s="22">
        <v>1700</v>
      </c>
      <c r="E107" s="22">
        <v>1708.23</v>
      </c>
      <c r="F107" s="22">
        <v>1750</v>
      </c>
      <c r="G107" s="22">
        <v>1600</v>
      </c>
      <c r="H107" s="22">
        <v>1632.66</v>
      </c>
      <c r="I107" s="22">
        <v>1700</v>
      </c>
      <c r="J107" s="22">
        <v>1300</v>
      </c>
      <c r="K107" s="22">
        <v>1389.31</v>
      </c>
      <c r="L107" s="22">
        <v>1500</v>
      </c>
      <c r="M107" s="22">
        <v>1450</v>
      </c>
      <c r="N107" s="22">
        <v>1483.14</v>
      </c>
      <c r="O107" s="22">
        <v>1500</v>
      </c>
      <c r="P107" s="22">
        <v>1100</v>
      </c>
      <c r="Q107" s="22">
        <v>1132.3699999999999</v>
      </c>
      <c r="R107" s="22">
        <v>1200</v>
      </c>
      <c r="S107" s="22">
        <v>1350</v>
      </c>
      <c r="T107" s="22">
        <v>1383.13</v>
      </c>
      <c r="U107" s="22">
        <v>1400</v>
      </c>
      <c r="V107" s="22">
        <v>1050</v>
      </c>
      <c r="W107" s="22">
        <v>1343.28</v>
      </c>
      <c r="X107" s="22">
        <v>1700</v>
      </c>
      <c r="Y107" s="23">
        <v>43</v>
      </c>
    </row>
    <row r="108" spans="1:25" x14ac:dyDescent="0.3">
      <c r="A108" s="21">
        <v>44</v>
      </c>
      <c r="B108" s="21" t="s">
        <v>72</v>
      </c>
      <c r="C108" s="21" t="s">
        <v>23</v>
      </c>
      <c r="D108" s="22">
        <v>575</v>
      </c>
      <c r="E108" s="22">
        <v>575</v>
      </c>
      <c r="F108" s="22">
        <v>575</v>
      </c>
      <c r="G108" s="22">
        <v>260</v>
      </c>
      <c r="H108" s="22">
        <v>272.7</v>
      </c>
      <c r="I108" s="22">
        <v>300</v>
      </c>
      <c r="J108" s="22">
        <v>350</v>
      </c>
      <c r="K108" s="22">
        <v>350</v>
      </c>
      <c r="L108" s="22">
        <v>350</v>
      </c>
      <c r="M108" s="22">
        <v>450</v>
      </c>
      <c r="N108" s="22">
        <v>450</v>
      </c>
      <c r="O108" s="22">
        <v>450</v>
      </c>
      <c r="P108" s="22">
        <v>350</v>
      </c>
      <c r="Q108" s="22">
        <v>350</v>
      </c>
      <c r="R108" s="22">
        <v>350</v>
      </c>
      <c r="S108" s="22">
        <v>370</v>
      </c>
      <c r="T108" s="22">
        <v>370</v>
      </c>
      <c r="U108" s="22">
        <v>370</v>
      </c>
      <c r="V108" s="22">
        <v>350</v>
      </c>
      <c r="W108" s="22">
        <v>350</v>
      </c>
      <c r="X108" s="22">
        <v>350</v>
      </c>
      <c r="Y108" s="23">
        <v>44</v>
      </c>
    </row>
    <row r="109" spans="1:25" x14ac:dyDescent="0.3">
      <c r="A109" s="21">
        <v>45</v>
      </c>
      <c r="B109" s="21" t="s">
        <v>73</v>
      </c>
      <c r="C109" s="21" t="s">
        <v>23</v>
      </c>
      <c r="D109" s="22">
        <v>133</v>
      </c>
      <c r="E109" s="22">
        <v>133</v>
      </c>
      <c r="F109" s="22">
        <v>133</v>
      </c>
      <c r="G109" s="22">
        <v>140</v>
      </c>
      <c r="H109" s="22">
        <v>140</v>
      </c>
      <c r="I109" s="22">
        <v>140</v>
      </c>
      <c r="J109" s="22">
        <v>140</v>
      </c>
      <c r="K109" s="22">
        <v>142.06</v>
      </c>
      <c r="L109" s="22">
        <v>150</v>
      </c>
      <c r="M109" s="22">
        <v>140</v>
      </c>
      <c r="N109" s="22">
        <v>140</v>
      </c>
      <c r="O109" s="22">
        <v>140</v>
      </c>
      <c r="P109" s="22">
        <v>138</v>
      </c>
      <c r="Q109" s="22">
        <v>138</v>
      </c>
      <c r="R109" s="22">
        <v>138</v>
      </c>
      <c r="S109" s="22">
        <v>138</v>
      </c>
      <c r="T109" s="22">
        <v>139.33000000000001</v>
      </c>
      <c r="U109" s="22">
        <v>140</v>
      </c>
      <c r="V109" s="22">
        <v>145</v>
      </c>
      <c r="W109" s="22">
        <v>148.31</v>
      </c>
      <c r="X109" s="22">
        <v>150</v>
      </c>
      <c r="Y109" s="23">
        <v>45</v>
      </c>
    </row>
    <row r="110" spans="1:25" x14ac:dyDescent="0.3">
      <c r="A110" s="21">
        <v>46</v>
      </c>
      <c r="B110" s="21" t="s">
        <v>74</v>
      </c>
      <c r="C110" s="21" t="s">
        <v>23</v>
      </c>
      <c r="D110" s="22">
        <v>7</v>
      </c>
      <c r="E110" s="22">
        <v>7</v>
      </c>
      <c r="F110" s="22">
        <v>7</v>
      </c>
      <c r="G110" s="22">
        <v>7</v>
      </c>
      <c r="H110" s="22">
        <v>7</v>
      </c>
      <c r="I110" s="22">
        <v>7</v>
      </c>
      <c r="J110" s="22">
        <v>7</v>
      </c>
      <c r="K110" s="22">
        <v>7</v>
      </c>
      <c r="L110" s="22">
        <v>7</v>
      </c>
      <c r="M110" s="22">
        <v>6</v>
      </c>
      <c r="N110" s="22">
        <v>6.65</v>
      </c>
      <c r="O110" s="22">
        <v>7</v>
      </c>
      <c r="P110" s="22">
        <v>6</v>
      </c>
      <c r="Q110" s="22">
        <v>6</v>
      </c>
      <c r="R110" s="22">
        <v>6</v>
      </c>
      <c r="S110" s="22">
        <v>7</v>
      </c>
      <c r="T110" s="22">
        <v>7</v>
      </c>
      <c r="U110" s="22">
        <v>7</v>
      </c>
      <c r="V110" s="22">
        <v>7</v>
      </c>
      <c r="W110" s="22">
        <v>7</v>
      </c>
      <c r="X110" s="22">
        <v>7</v>
      </c>
      <c r="Y110" s="23">
        <v>46</v>
      </c>
    </row>
    <row r="111" spans="1:25" x14ac:dyDescent="0.3">
      <c r="A111" s="21">
        <v>47</v>
      </c>
      <c r="B111" s="21" t="s">
        <v>75</v>
      </c>
      <c r="C111" s="21" t="s">
        <v>76</v>
      </c>
      <c r="D111" s="22">
        <v>328.3</v>
      </c>
      <c r="E111" s="22">
        <v>328.64</v>
      </c>
      <c r="F111" s="22">
        <v>329.26</v>
      </c>
      <c r="G111" s="22">
        <v>330.22</v>
      </c>
      <c r="H111" s="22">
        <v>330.36</v>
      </c>
      <c r="I111" s="22">
        <v>330.47</v>
      </c>
      <c r="J111" s="22">
        <v>328.37</v>
      </c>
      <c r="K111" s="22">
        <v>328.37</v>
      </c>
      <c r="L111" s="22">
        <v>328.37</v>
      </c>
      <c r="M111" s="22">
        <v>330.17</v>
      </c>
      <c r="N111" s="22">
        <v>330.56</v>
      </c>
      <c r="O111" s="22">
        <v>331.17</v>
      </c>
      <c r="P111" s="22">
        <v>328.37</v>
      </c>
      <c r="Q111" s="22">
        <v>328.37</v>
      </c>
      <c r="R111" s="22">
        <v>328.37</v>
      </c>
      <c r="S111" s="22">
        <v>329.45</v>
      </c>
      <c r="T111" s="22">
        <v>329.45</v>
      </c>
      <c r="U111" s="22">
        <v>329.45</v>
      </c>
      <c r="V111" s="22">
        <v>328.4</v>
      </c>
      <c r="W111" s="22">
        <v>328.4</v>
      </c>
      <c r="X111" s="22">
        <v>328.4</v>
      </c>
      <c r="Y111" s="23">
        <v>47</v>
      </c>
    </row>
    <row r="112" spans="1:25" x14ac:dyDescent="0.3">
      <c r="A112" s="21">
        <v>48</v>
      </c>
      <c r="B112" s="21" t="s">
        <v>77</v>
      </c>
      <c r="C112" s="21" t="s">
        <v>76</v>
      </c>
      <c r="D112" s="22">
        <v>376.26</v>
      </c>
      <c r="E112" s="22">
        <v>376.57</v>
      </c>
      <c r="F112" s="22">
        <v>377.16</v>
      </c>
      <c r="G112" s="22">
        <v>378.13</v>
      </c>
      <c r="H112" s="22">
        <v>378.46</v>
      </c>
      <c r="I112" s="22">
        <v>378.69</v>
      </c>
      <c r="J112" s="22">
        <v>376.29</v>
      </c>
      <c r="K112" s="22">
        <v>376.29</v>
      </c>
      <c r="L112" s="22">
        <v>376.29</v>
      </c>
      <c r="M112" s="22">
        <v>378.09</v>
      </c>
      <c r="N112" s="22">
        <v>378.46</v>
      </c>
      <c r="O112" s="22">
        <v>379</v>
      </c>
      <c r="P112" s="22">
        <v>376.29</v>
      </c>
      <c r="Q112" s="22">
        <v>376.29</v>
      </c>
      <c r="R112" s="22">
        <v>376.29</v>
      </c>
      <c r="S112" s="22">
        <v>377.5</v>
      </c>
      <c r="T112" s="22">
        <v>377.5</v>
      </c>
      <c r="U112" s="22">
        <v>377.5</v>
      </c>
      <c r="V112" s="22">
        <v>376.3</v>
      </c>
      <c r="W112" s="22">
        <v>376.3</v>
      </c>
      <c r="X112" s="22">
        <v>376.3</v>
      </c>
      <c r="Y112" s="23">
        <v>48</v>
      </c>
    </row>
    <row r="113" spans="1:25" x14ac:dyDescent="0.3">
      <c r="A113" s="21">
        <v>49</v>
      </c>
      <c r="B113" s="21" t="s">
        <v>78</v>
      </c>
      <c r="C113" s="21" t="s">
        <v>23</v>
      </c>
      <c r="D113" s="22">
        <v>4430</v>
      </c>
      <c r="E113" s="22">
        <v>4497.17</v>
      </c>
      <c r="F113" s="22">
        <v>4550</v>
      </c>
      <c r="G113" s="22">
        <v>4400</v>
      </c>
      <c r="H113" s="22">
        <v>4564.95</v>
      </c>
      <c r="I113" s="22">
        <v>4700</v>
      </c>
      <c r="J113" s="22">
        <v>4085</v>
      </c>
      <c r="K113" s="22">
        <v>4179.18</v>
      </c>
      <c r="L113" s="22">
        <v>4318</v>
      </c>
      <c r="M113" s="22">
        <v>4317.8999999999996</v>
      </c>
      <c r="N113" s="22">
        <v>4356.45</v>
      </c>
      <c r="O113" s="22">
        <v>4434.6000000000004</v>
      </c>
      <c r="P113" s="22">
        <v>4320</v>
      </c>
      <c r="Q113" s="22">
        <v>4320</v>
      </c>
      <c r="R113" s="22">
        <v>4320</v>
      </c>
      <c r="S113" s="22">
        <v>4350</v>
      </c>
      <c r="T113" s="22">
        <v>4350</v>
      </c>
      <c r="U113" s="22">
        <v>4350</v>
      </c>
      <c r="V113" s="22">
        <v>4356.76</v>
      </c>
      <c r="W113" s="22">
        <v>4493.3599999999997</v>
      </c>
      <c r="X113" s="22">
        <v>4668</v>
      </c>
      <c r="Y113" s="23">
        <v>49</v>
      </c>
    </row>
    <row r="114" spans="1:25" x14ac:dyDescent="0.3">
      <c r="A114" s="21">
        <v>50</v>
      </c>
      <c r="B114" s="21" t="s">
        <v>79</v>
      </c>
      <c r="C114" s="21" t="s">
        <v>80</v>
      </c>
      <c r="D114" s="22">
        <v>1.79</v>
      </c>
      <c r="E114" s="22">
        <v>1.79</v>
      </c>
      <c r="F114" s="22">
        <v>1.79</v>
      </c>
      <c r="G114" s="22">
        <v>1.79</v>
      </c>
      <c r="H114" s="22">
        <v>1.79</v>
      </c>
      <c r="I114" s="22">
        <v>1.79</v>
      </c>
      <c r="J114" s="22">
        <v>1.79</v>
      </c>
      <c r="K114" s="22">
        <v>1.79</v>
      </c>
      <c r="L114" s="22">
        <v>1.79</v>
      </c>
      <c r="M114" s="22">
        <v>1.79</v>
      </c>
      <c r="N114" s="22">
        <v>1.79</v>
      </c>
      <c r="O114" s="22">
        <v>1.79</v>
      </c>
      <c r="P114" s="22">
        <v>1.79</v>
      </c>
      <c r="Q114" s="22">
        <v>1.79</v>
      </c>
      <c r="R114" s="22">
        <v>1.79</v>
      </c>
      <c r="S114" s="22">
        <v>1.79</v>
      </c>
      <c r="T114" s="22">
        <v>1.79</v>
      </c>
      <c r="U114" s="22">
        <v>1.79</v>
      </c>
      <c r="V114" s="22">
        <v>1.79</v>
      </c>
      <c r="W114" s="22">
        <v>1.79</v>
      </c>
      <c r="X114" s="22">
        <v>1.79</v>
      </c>
      <c r="Y114" s="23">
        <v>50</v>
      </c>
    </row>
    <row r="115" spans="1:25" x14ac:dyDescent="0.3">
      <c r="A115" s="21">
        <v>51</v>
      </c>
      <c r="B115" s="21" t="s">
        <v>81</v>
      </c>
      <c r="C115" s="21" t="s">
        <v>23</v>
      </c>
      <c r="D115" s="22">
        <v>116.17</v>
      </c>
      <c r="E115" s="22">
        <v>116.17</v>
      </c>
      <c r="F115" s="22">
        <v>116.17</v>
      </c>
      <c r="G115" s="22">
        <v>116.17</v>
      </c>
      <c r="H115" s="22">
        <v>116.17</v>
      </c>
      <c r="I115" s="22">
        <v>116.17</v>
      </c>
      <c r="J115" s="22">
        <v>116.18</v>
      </c>
      <c r="K115" s="22">
        <v>116.18</v>
      </c>
      <c r="L115" s="22">
        <v>116.18</v>
      </c>
      <c r="M115" s="22">
        <v>116.17</v>
      </c>
      <c r="N115" s="22">
        <v>116.17</v>
      </c>
      <c r="O115" s="22">
        <v>116.17</v>
      </c>
      <c r="P115" s="22">
        <v>116.17</v>
      </c>
      <c r="Q115" s="22">
        <v>116.17</v>
      </c>
      <c r="R115" s="22">
        <v>116.17</v>
      </c>
      <c r="S115" s="22">
        <v>118.6</v>
      </c>
      <c r="T115" s="22">
        <v>118.6</v>
      </c>
      <c r="U115" s="22">
        <v>118.6</v>
      </c>
      <c r="V115" s="22">
        <v>116.87</v>
      </c>
      <c r="W115" s="22">
        <v>116.87</v>
      </c>
      <c r="X115" s="22">
        <v>116.87</v>
      </c>
      <c r="Y115" s="23">
        <v>51</v>
      </c>
    </row>
    <row r="116" spans="1:2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3">
      <c r="A117" s="16"/>
      <c r="B117" s="16"/>
      <c r="C117" s="16"/>
      <c r="D117" s="55" t="s">
        <v>4</v>
      </c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16"/>
    </row>
    <row r="118" spans="1:25" ht="21" x14ac:dyDescent="0.4">
      <c r="A118" s="17"/>
      <c r="B118" s="17"/>
      <c r="C118" s="17"/>
      <c r="D118" s="57" t="s">
        <v>5</v>
      </c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17"/>
    </row>
    <row r="119" spans="1:25" x14ac:dyDescent="0.3">
      <c r="A119" s="20" t="s">
        <v>0</v>
      </c>
      <c r="B119" s="20"/>
      <c r="C119" s="20"/>
      <c r="D119" s="60" t="s">
        <v>98</v>
      </c>
      <c r="E119" s="60"/>
      <c r="F119" s="60"/>
      <c r="G119" s="60" t="s">
        <v>99</v>
      </c>
      <c r="H119" s="60"/>
      <c r="I119" s="60"/>
      <c r="J119" s="60" t="s">
        <v>100</v>
      </c>
      <c r="K119" s="60"/>
      <c r="L119" s="60"/>
      <c r="M119" s="60" t="s">
        <v>101</v>
      </c>
      <c r="N119" s="60"/>
      <c r="O119" s="60"/>
      <c r="P119" s="60" t="s">
        <v>89</v>
      </c>
      <c r="Q119" s="60"/>
      <c r="R119" s="61" t="s">
        <v>90</v>
      </c>
      <c r="S119" s="61"/>
      <c r="T119" s="60" t="s">
        <v>91</v>
      </c>
      <c r="U119" s="60"/>
      <c r="V119" s="60"/>
      <c r="W119" s="60"/>
      <c r="X119" s="20" t="s">
        <v>0</v>
      </c>
      <c r="Y119" s="20"/>
    </row>
    <row r="120" spans="1:25" x14ac:dyDescent="0.3">
      <c r="A120" s="20" t="s">
        <v>1</v>
      </c>
      <c r="B120" s="20" t="s">
        <v>2</v>
      </c>
      <c r="C120" s="20" t="s">
        <v>3</v>
      </c>
      <c r="D120" s="20" t="s">
        <v>8</v>
      </c>
      <c r="E120" s="20" t="s">
        <v>9</v>
      </c>
      <c r="F120" s="20" t="s">
        <v>10</v>
      </c>
      <c r="G120" s="20" t="s">
        <v>8</v>
      </c>
      <c r="H120" s="20" t="s">
        <v>9</v>
      </c>
      <c r="I120" s="20" t="s">
        <v>10</v>
      </c>
      <c r="J120" s="20" t="s">
        <v>8</v>
      </c>
      <c r="K120" s="20" t="s">
        <v>9</v>
      </c>
      <c r="L120" s="20" t="s">
        <v>10</v>
      </c>
      <c r="M120" s="20" t="s">
        <v>8</v>
      </c>
      <c r="N120" s="20" t="s">
        <v>9</v>
      </c>
      <c r="O120" s="20" t="s">
        <v>10</v>
      </c>
      <c r="P120" s="20" t="s">
        <v>92</v>
      </c>
      <c r="Q120" s="20" t="s">
        <v>93</v>
      </c>
      <c r="R120" s="24" t="s">
        <v>92</v>
      </c>
      <c r="S120" s="24" t="s">
        <v>93</v>
      </c>
      <c r="T120" s="20" t="s">
        <v>94</v>
      </c>
      <c r="U120" s="20" t="s">
        <v>95</v>
      </c>
      <c r="V120" s="20" t="s">
        <v>96</v>
      </c>
      <c r="W120" s="20" t="s">
        <v>97</v>
      </c>
      <c r="X120" s="20" t="s">
        <v>1</v>
      </c>
      <c r="Y120" s="20"/>
    </row>
    <row r="121" spans="1:25" ht="12" customHeight="1" x14ac:dyDescent="0.3">
      <c r="A121" s="20">
        <v>1</v>
      </c>
      <c r="B121" s="20">
        <v>2</v>
      </c>
      <c r="C121" s="20">
        <v>3</v>
      </c>
      <c r="D121" s="20">
        <v>46</v>
      </c>
      <c r="E121" s="20">
        <v>47</v>
      </c>
      <c r="F121" s="20">
        <v>48</v>
      </c>
      <c r="G121" s="20">
        <v>49</v>
      </c>
      <c r="H121" s="20">
        <v>50</v>
      </c>
      <c r="I121" s="20">
        <v>51</v>
      </c>
      <c r="J121" s="20">
        <v>52</v>
      </c>
      <c r="K121" s="20">
        <v>53</v>
      </c>
      <c r="L121" s="20">
        <v>54</v>
      </c>
      <c r="M121" s="20">
        <v>56</v>
      </c>
      <c r="N121" s="20">
        <v>57</v>
      </c>
      <c r="O121" s="20">
        <v>58</v>
      </c>
      <c r="P121" s="20">
        <v>59</v>
      </c>
      <c r="Q121" s="20">
        <v>60</v>
      </c>
      <c r="R121" s="20">
        <v>61</v>
      </c>
      <c r="S121" s="20">
        <v>62</v>
      </c>
      <c r="T121" s="20">
        <v>63</v>
      </c>
      <c r="U121" s="20">
        <v>64</v>
      </c>
      <c r="V121" s="20">
        <v>65</v>
      </c>
      <c r="W121" s="20">
        <v>66</v>
      </c>
      <c r="X121" s="20">
        <v>1</v>
      </c>
      <c r="Y121" s="20"/>
    </row>
    <row r="122" spans="1:25" ht="17.399999999999999" x14ac:dyDescent="0.3">
      <c r="A122" s="17"/>
      <c r="B122" s="17"/>
      <c r="C122" s="17"/>
      <c r="D122" s="59" t="s">
        <v>6</v>
      </c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17"/>
    </row>
    <row r="123" spans="1:25" x14ac:dyDescent="0.3">
      <c r="A123" s="21">
        <v>1</v>
      </c>
      <c r="B123" s="21" t="s">
        <v>17</v>
      </c>
      <c r="C123" s="21" t="s">
        <v>18</v>
      </c>
      <c r="D123" s="22">
        <v>2700</v>
      </c>
      <c r="E123" s="22">
        <v>2716.56</v>
      </c>
      <c r="F123" s="22">
        <v>2750</v>
      </c>
      <c r="G123" s="22">
        <v>2760</v>
      </c>
      <c r="H123" s="22">
        <v>2779.95</v>
      </c>
      <c r="I123" s="22">
        <v>2800</v>
      </c>
      <c r="J123" s="22">
        <v>2600</v>
      </c>
      <c r="K123" s="22">
        <v>2600</v>
      </c>
      <c r="L123" s="22">
        <v>2600</v>
      </c>
      <c r="M123" s="22">
        <v>2200</v>
      </c>
      <c r="N123" s="22">
        <v>2582.5</v>
      </c>
      <c r="O123" s="22">
        <v>2960</v>
      </c>
      <c r="P123" s="22">
        <v>2578.86</v>
      </c>
      <c r="Q123" s="22">
        <v>1483.11</v>
      </c>
      <c r="R123" s="22">
        <f t="shared" ref="R123:R154" si="0">ROUND(N123/P123* 100 - 100,2)</f>
        <v>0.14000000000000001</v>
      </c>
      <c r="S123" s="22">
        <f t="shared" ref="S123:S154" si="1">ROUND(N123/Q123* 100 - 100,2)</f>
        <v>74.13</v>
      </c>
      <c r="T123" s="22">
        <v>2109.1799999999998</v>
      </c>
      <c r="U123" s="22">
        <v>1742.07</v>
      </c>
      <c r="V123" s="22">
        <f t="shared" ref="V123:V154" si="2">T123-U123</f>
        <v>367.1099999999999</v>
      </c>
      <c r="W123" s="22">
        <f t="shared" ref="W123:W154" si="3">T123/U123*100-100</f>
        <v>21.073206013535611</v>
      </c>
      <c r="X123" s="25">
        <v>1</v>
      </c>
      <c r="Y123" s="3"/>
    </row>
    <row r="124" spans="1:25" x14ac:dyDescent="0.3">
      <c r="A124" s="21">
        <v>2</v>
      </c>
      <c r="B124" s="21" t="s">
        <v>19</v>
      </c>
      <c r="C124" s="21" t="s">
        <v>20</v>
      </c>
      <c r="D124" s="22">
        <v>140</v>
      </c>
      <c r="E124" s="22">
        <v>146.59</v>
      </c>
      <c r="F124" s="22">
        <v>150</v>
      </c>
      <c r="G124" s="22">
        <v>280</v>
      </c>
      <c r="H124" s="22">
        <v>289.93</v>
      </c>
      <c r="I124" s="22">
        <v>300</v>
      </c>
      <c r="J124" s="22">
        <v>240</v>
      </c>
      <c r="K124" s="22">
        <v>246.62</v>
      </c>
      <c r="L124" s="22">
        <v>250</v>
      </c>
      <c r="M124" s="22">
        <v>140</v>
      </c>
      <c r="N124" s="22">
        <v>217.51</v>
      </c>
      <c r="O124" s="22">
        <v>300</v>
      </c>
      <c r="P124" s="22">
        <v>217.51</v>
      </c>
      <c r="Q124" s="22">
        <v>207.53</v>
      </c>
      <c r="R124" s="22">
        <f t="shared" si="0"/>
        <v>0</v>
      </c>
      <c r="S124" s="22">
        <f t="shared" si="1"/>
        <v>4.8099999999999996</v>
      </c>
      <c r="T124" s="22">
        <v>214.54</v>
      </c>
      <c r="U124" s="22">
        <v>205.37</v>
      </c>
      <c r="V124" s="22">
        <f t="shared" si="2"/>
        <v>9.1699999999999875</v>
      </c>
      <c r="W124" s="22">
        <f t="shared" si="3"/>
        <v>4.465111749525235</v>
      </c>
      <c r="X124" s="25">
        <v>2</v>
      </c>
      <c r="Y124" s="3"/>
    </row>
    <row r="125" spans="1:25" x14ac:dyDescent="0.3">
      <c r="A125" s="21">
        <v>3</v>
      </c>
      <c r="B125" s="21" t="s">
        <v>21</v>
      </c>
      <c r="C125" s="21" t="s">
        <v>20</v>
      </c>
      <c r="D125" s="22">
        <v>160</v>
      </c>
      <c r="E125" s="22">
        <v>166.6</v>
      </c>
      <c r="F125" s="22">
        <v>170</v>
      </c>
      <c r="G125" s="22">
        <v>160</v>
      </c>
      <c r="H125" s="22">
        <v>169.88</v>
      </c>
      <c r="I125" s="22">
        <v>180</v>
      </c>
      <c r="J125" s="22">
        <v>150</v>
      </c>
      <c r="K125" s="22">
        <v>153.26</v>
      </c>
      <c r="L125" s="22">
        <v>160</v>
      </c>
      <c r="M125" s="22">
        <v>110</v>
      </c>
      <c r="N125" s="22">
        <v>154.57</v>
      </c>
      <c r="O125" s="22">
        <v>200</v>
      </c>
      <c r="P125" s="22">
        <v>155.38</v>
      </c>
      <c r="Q125" s="22">
        <v>154.41</v>
      </c>
      <c r="R125" s="22">
        <f t="shared" si="0"/>
        <v>-0.52</v>
      </c>
      <c r="S125" s="22">
        <f t="shared" si="1"/>
        <v>0.1</v>
      </c>
      <c r="T125" s="22">
        <v>155.74</v>
      </c>
      <c r="U125" s="22">
        <v>159.01</v>
      </c>
      <c r="V125" s="22">
        <f t="shared" si="2"/>
        <v>-3.2699999999999818</v>
      </c>
      <c r="W125" s="22">
        <f t="shared" si="3"/>
        <v>-2.056474435570081</v>
      </c>
      <c r="X125" s="25">
        <v>3</v>
      </c>
      <c r="Y125" s="3"/>
    </row>
    <row r="126" spans="1:25" x14ac:dyDescent="0.3">
      <c r="A126" s="21">
        <v>4</v>
      </c>
      <c r="B126" s="21" t="s">
        <v>22</v>
      </c>
      <c r="C126" s="21" t="s">
        <v>23</v>
      </c>
      <c r="D126" s="22">
        <v>100</v>
      </c>
      <c r="E126" s="22">
        <v>100</v>
      </c>
      <c r="F126" s="22">
        <v>100</v>
      </c>
      <c r="G126" s="22">
        <v>130</v>
      </c>
      <c r="H126" s="22">
        <v>130</v>
      </c>
      <c r="I126" s="22">
        <v>130</v>
      </c>
      <c r="J126" s="22">
        <v>110</v>
      </c>
      <c r="K126" s="22">
        <v>110</v>
      </c>
      <c r="L126" s="22">
        <v>110</v>
      </c>
      <c r="M126" s="22">
        <v>100</v>
      </c>
      <c r="N126" s="22">
        <v>119.38</v>
      </c>
      <c r="O126" s="22">
        <v>130</v>
      </c>
      <c r="P126" s="22">
        <v>119.38</v>
      </c>
      <c r="Q126" s="22">
        <v>108.83</v>
      </c>
      <c r="R126" s="22">
        <f t="shared" si="0"/>
        <v>0</v>
      </c>
      <c r="S126" s="22">
        <f t="shared" si="1"/>
        <v>9.69</v>
      </c>
      <c r="T126" s="22">
        <v>112.09</v>
      </c>
      <c r="U126" s="22">
        <v>109.13</v>
      </c>
      <c r="V126" s="22">
        <f t="shared" si="2"/>
        <v>2.960000000000008</v>
      </c>
      <c r="W126" s="22">
        <f t="shared" si="3"/>
        <v>2.7123614038303145</v>
      </c>
      <c r="X126" s="25">
        <v>4</v>
      </c>
      <c r="Y126" s="3"/>
    </row>
    <row r="127" spans="1:25" x14ac:dyDescent="0.3">
      <c r="A127" s="21">
        <v>5</v>
      </c>
      <c r="B127" s="21" t="s">
        <v>24</v>
      </c>
      <c r="C127" s="21" t="s">
        <v>20</v>
      </c>
      <c r="D127" s="22">
        <v>1000</v>
      </c>
      <c r="E127" s="22">
        <v>1032.28</v>
      </c>
      <c r="F127" s="22">
        <v>1100</v>
      </c>
      <c r="G127" s="22">
        <v>1200</v>
      </c>
      <c r="H127" s="22">
        <v>1249.33</v>
      </c>
      <c r="I127" s="22">
        <v>1300</v>
      </c>
      <c r="J127" s="22">
        <v>1200</v>
      </c>
      <c r="K127" s="22">
        <v>1200</v>
      </c>
      <c r="L127" s="22">
        <v>1200</v>
      </c>
      <c r="M127" s="22">
        <v>1000</v>
      </c>
      <c r="N127" s="22">
        <v>1257.5999999999999</v>
      </c>
      <c r="O127" s="22">
        <v>1550</v>
      </c>
      <c r="P127" s="22">
        <v>1257.5999999999999</v>
      </c>
      <c r="Q127" s="22">
        <v>1112.08</v>
      </c>
      <c r="R127" s="22">
        <f t="shared" si="0"/>
        <v>0</v>
      </c>
      <c r="S127" s="22">
        <f t="shared" si="1"/>
        <v>13.09</v>
      </c>
      <c r="T127" s="22">
        <v>1170.7</v>
      </c>
      <c r="U127" s="22">
        <v>1034.77</v>
      </c>
      <c r="V127" s="22">
        <f t="shared" si="2"/>
        <v>135.93000000000006</v>
      </c>
      <c r="W127" s="22">
        <f t="shared" si="3"/>
        <v>13.136252500555685</v>
      </c>
      <c r="X127" s="25">
        <v>5</v>
      </c>
      <c r="Y127" s="3"/>
    </row>
    <row r="128" spans="1:25" x14ac:dyDescent="0.3">
      <c r="A128" s="21">
        <v>6</v>
      </c>
      <c r="B128" s="21" t="s">
        <v>25</v>
      </c>
      <c r="C128" s="21" t="s">
        <v>20</v>
      </c>
      <c r="D128" s="22">
        <v>1800</v>
      </c>
      <c r="E128" s="22">
        <v>1800</v>
      </c>
      <c r="F128" s="22">
        <v>1800</v>
      </c>
      <c r="G128" s="22">
        <v>2200</v>
      </c>
      <c r="H128" s="22">
        <v>2348.0500000000002</v>
      </c>
      <c r="I128" s="22">
        <v>2500</v>
      </c>
      <c r="J128" s="22">
        <v>2200</v>
      </c>
      <c r="K128" s="22">
        <v>2395.71</v>
      </c>
      <c r="L128" s="22">
        <v>2500</v>
      </c>
      <c r="M128" s="22">
        <v>1800</v>
      </c>
      <c r="N128" s="22">
        <v>2373.7399999999998</v>
      </c>
      <c r="O128" s="22">
        <v>3000</v>
      </c>
      <c r="P128" s="22">
        <v>2373.7399999999998</v>
      </c>
      <c r="Q128" s="22">
        <v>2046.01</v>
      </c>
      <c r="R128" s="22">
        <f t="shared" si="0"/>
        <v>0</v>
      </c>
      <c r="S128" s="22">
        <f t="shared" si="1"/>
        <v>16.02</v>
      </c>
      <c r="T128" s="22">
        <v>2157.14</v>
      </c>
      <c r="U128" s="22">
        <v>1965.06</v>
      </c>
      <c r="V128" s="22">
        <f t="shared" si="2"/>
        <v>192.07999999999993</v>
      </c>
      <c r="W128" s="22">
        <f t="shared" si="3"/>
        <v>9.774765147120192</v>
      </c>
      <c r="X128" s="25">
        <v>6</v>
      </c>
      <c r="Y128" s="3"/>
    </row>
    <row r="129" spans="1:25" x14ac:dyDescent="0.3">
      <c r="A129" s="21">
        <v>7</v>
      </c>
      <c r="B129" s="21" t="s">
        <v>26</v>
      </c>
      <c r="C129" s="21" t="s">
        <v>20</v>
      </c>
      <c r="D129" s="22">
        <v>395</v>
      </c>
      <c r="E129" s="22">
        <v>395</v>
      </c>
      <c r="F129" s="22">
        <v>395</v>
      </c>
      <c r="G129" s="22">
        <v>370</v>
      </c>
      <c r="H129" s="22">
        <v>382.44</v>
      </c>
      <c r="I129" s="22">
        <v>390</v>
      </c>
      <c r="J129" s="22">
        <v>430</v>
      </c>
      <c r="K129" s="22">
        <v>436.64</v>
      </c>
      <c r="L129" s="22">
        <v>440</v>
      </c>
      <c r="M129" s="22">
        <v>310</v>
      </c>
      <c r="N129" s="22">
        <v>365.27</v>
      </c>
      <c r="O129" s="22">
        <v>440</v>
      </c>
      <c r="P129" s="22">
        <v>383.11</v>
      </c>
      <c r="Q129" s="22">
        <v>423.39</v>
      </c>
      <c r="R129" s="22">
        <f t="shared" si="0"/>
        <v>-4.66</v>
      </c>
      <c r="S129" s="22">
        <f t="shared" si="1"/>
        <v>-13.73</v>
      </c>
      <c r="T129" s="22">
        <v>385.92</v>
      </c>
      <c r="U129" s="22">
        <v>420.4</v>
      </c>
      <c r="V129" s="22">
        <f t="shared" si="2"/>
        <v>-34.479999999999961</v>
      </c>
      <c r="W129" s="22">
        <f t="shared" si="3"/>
        <v>-8.2017126546146528</v>
      </c>
      <c r="X129" s="25">
        <v>7</v>
      </c>
      <c r="Y129" s="3"/>
    </row>
    <row r="130" spans="1:25" x14ac:dyDescent="0.3">
      <c r="A130" s="21">
        <v>8</v>
      </c>
      <c r="B130" s="21" t="s">
        <v>27</v>
      </c>
      <c r="C130" s="21" t="s">
        <v>28</v>
      </c>
      <c r="D130" s="22">
        <v>180</v>
      </c>
      <c r="E130" s="22">
        <v>193.1</v>
      </c>
      <c r="F130" s="22">
        <v>200</v>
      </c>
      <c r="G130" s="22">
        <v>220</v>
      </c>
      <c r="H130" s="22">
        <v>220</v>
      </c>
      <c r="I130" s="22">
        <v>220</v>
      </c>
      <c r="J130" s="22">
        <v>220</v>
      </c>
      <c r="K130" s="22">
        <v>226.47</v>
      </c>
      <c r="L130" s="22">
        <v>240</v>
      </c>
      <c r="M130" s="22">
        <v>170</v>
      </c>
      <c r="N130" s="22">
        <v>217.48</v>
      </c>
      <c r="O130" s="22">
        <v>270</v>
      </c>
      <c r="P130" s="22">
        <v>217.29</v>
      </c>
      <c r="Q130" s="22">
        <v>201.5</v>
      </c>
      <c r="R130" s="22">
        <f t="shared" si="0"/>
        <v>0.09</v>
      </c>
      <c r="S130" s="22">
        <f t="shared" si="1"/>
        <v>7.93</v>
      </c>
      <c r="T130" s="22">
        <v>204.78</v>
      </c>
      <c r="U130" s="22">
        <v>197.12</v>
      </c>
      <c r="V130" s="22">
        <f t="shared" si="2"/>
        <v>7.6599999999999966</v>
      </c>
      <c r="W130" s="22">
        <f t="shared" si="3"/>
        <v>3.8859577922077904</v>
      </c>
      <c r="X130" s="25">
        <v>8</v>
      </c>
      <c r="Y130" s="3"/>
    </row>
    <row r="131" spans="1:25" x14ac:dyDescent="0.3">
      <c r="A131" s="21">
        <v>9</v>
      </c>
      <c r="B131" s="21" t="s">
        <v>29</v>
      </c>
      <c r="C131" s="21" t="s">
        <v>20</v>
      </c>
      <c r="D131" s="22">
        <v>200</v>
      </c>
      <c r="E131" s="22">
        <v>213.12</v>
      </c>
      <c r="F131" s="22">
        <v>220</v>
      </c>
      <c r="G131" s="22">
        <v>220</v>
      </c>
      <c r="H131" s="22">
        <v>226.47</v>
      </c>
      <c r="I131" s="22">
        <v>240</v>
      </c>
      <c r="J131" s="22">
        <v>220</v>
      </c>
      <c r="K131" s="22">
        <v>233.14</v>
      </c>
      <c r="L131" s="22">
        <v>240</v>
      </c>
      <c r="M131" s="22">
        <v>190</v>
      </c>
      <c r="N131" s="22">
        <v>253.38</v>
      </c>
      <c r="O131" s="22">
        <v>400</v>
      </c>
      <c r="P131" s="22">
        <v>253.16</v>
      </c>
      <c r="Q131" s="22">
        <v>236.45</v>
      </c>
      <c r="R131" s="22">
        <f t="shared" si="0"/>
        <v>0.09</v>
      </c>
      <c r="S131" s="22">
        <f t="shared" si="1"/>
        <v>7.16</v>
      </c>
      <c r="T131" s="22">
        <v>240.43</v>
      </c>
      <c r="U131" s="22">
        <v>230.31</v>
      </c>
      <c r="V131" s="22">
        <f t="shared" si="2"/>
        <v>10.120000000000005</v>
      </c>
      <c r="W131" s="22">
        <f t="shared" si="3"/>
        <v>4.3940775476531684</v>
      </c>
      <c r="X131" s="25">
        <v>9</v>
      </c>
      <c r="Y131" s="3"/>
    </row>
    <row r="132" spans="1:25" x14ac:dyDescent="0.3">
      <c r="A132" s="21">
        <v>10</v>
      </c>
      <c r="B132" s="21" t="s">
        <v>30</v>
      </c>
      <c r="C132" s="21" t="s">
        <v>23</v>
      </c>
      <c r="D132" s="22">
        <v>1100</v>
      </c>
      <c r="E132" s="22">
        <v>1100</v>
      </c>
      <c r="F132" s="22">
        <v>1100</v>
      </c>
      <c r="G132" s="22">
        <v>1170</v>
      </c>
      <c r="H132" s="22">
        <v>1170</v>
      </c>
      <c r="I132" s="22">
        <v>1170</v>
      </c>
      <c r="J132" s="22">
        <v>1170</v>
      </c>
      <c r="K132" s="22">
        <v>1170</v>
      </c>
      <c r="L132" s="22">
        <v>1170</v>
      </c>
      <c r="M132" s="22">
        <v>1100</v>
      </c>
      <c r="N132" s="22">
        <v>1155.74</v>
      </c>
      <c r="O132" s="22">
        <v>1200</v>
      </c>
      <c r="P132" s="22">
        <v>1155.06</v>
      </c>
      <c r="Q132" s="22">
        <v>1083.45</v>
      </c>
      <c r="R132" s="22">
        <f t="shared" si="0"/>
        <v>0.06</v>
      </c>
      <c r="S132" s="22">
        <f t="shared" si="1"/>
        <v>6.67</v>
      </c>
      <c r="T132" s="22">
        <v>1123.76</v>
      </c>
      <c r="U132" s="22">
        <v>1034.9100000000001</v>
      </c>
      <c r="V132" s="22">
        <f t="shared" si="2"/>
        <v>88.849999999999909</v>
      </c>
      <c r="W132" s="22">
        <f t="shared" si="3"/>
        <v>8.5852876095505763</v>
      </c>
      <c r="X132" s="25">
        <v>10</v>
      </c>
      <c r="Y132" s="3"/>
    </row>
    <row r="133" spans="1:25" x14ac:dyDescent="0.3">
      <c r="A133" s="21">
        <v>11</v>
      </c>
      <c r="B133" s="21" t="s">
        <v>31</v>
      </c>
      <c r="C133" s="21" t="s">
        <v>32</v>
      </c>
      <c r="D133" s="22">
        <v>230</v>
      </c>
      <c r="E133" s="22">
        <v>230</v>
      </c>
      <c r="F133" s="22">
        <v>230</v>
      </c>
      <c r="G133" s="22">
        <v>240</v>
      </c>
      <c r="H133" s="22">
        <v>252.4</v>
      </c>
      <c r="I133" s="22">
        <v>260</v>
      </c>
      <c r="J133" s="22">
        <v>240</v>
      </c>
      <c r="K133" s="22">
        <v>249.61</v>
      </c>
      <c r="L133" s="22">
        <v>270</v>
      </c>
      <c r="M133" s="22">
        <v>230</v>
      </c>
      <c r="N133" s="22">
        <v>257.33</v>
      </c>
      <c r="O133" s="22">
        <v>280</v>
      </c>
      <c r="P133" s="22">
        <v>239.8</v>
      </c>
      <c r="Q133" s="22">
        <v>284.64</v>
      </c>
      <c r="R133" s="22">
        <f t="shared" si="0"/>
        <v>7.31</v>
      </c>
      <c r="S133" s="22">
        <f t="shared" si="1"/>
        <v>-9.59</v>
      </c>
      <c r="T133" s="22">
        <v>285.7</v>
      </c>
      <c r="U133" s="22">
        <v>290.19</v>
      </c>
      <c r="V133" s="22">
        <f t="shared" si="2"/>
        <v>-4.4900000000000091</v>
      </c>
      <c r="W133" s="22">
        <f t="shared" si="3"/>
        <v>-1.5472621385988532</v>
      </c>
      <c r="X133" s="25">
        <v>11</v>
      </c>
      <c r="Y133" s="3"/>
    </row>
    <row r="134" spans="1:25" x14ac:dyDescent="0.3">
      <c r="A134" s="21">
        <v>12</v>
      </c>
      <c r="B134" s="21" t="s">
        <v>33</v>
      </c>
      <c r="C134" s="21" t="s">
        <v>20</v>
      </c>
      <c r="D134" s="22">
        <v>470</v>
      </c>
      <c r="E134" s="22">
        <v>470</v>
      </c>
      <c r="F134" s="22">
        <v>470</v>
      </c>
      <c r="G134" s="22">
        <v>575</v>
      </c>
      <c r="H134" s="22">
        <v>597.23</v>
      </c>
      <c r="I134" s="22">
        <v>620</v>
      </c>
      <c r="J134" s="22">
        <v>600</v>
      </c>
      <c r="K134" s="22">
        <v>600</v>
      </c>
      <c r="L134" s="22">
        <v>600</v>
      </c>
      <c r="M134" s="22">
        <v>460</v>
      </c>
      <c r="N134" s="22">
        <v>551.88</v>
      </c>
      <c r="O134" s="22">
        <v>720</v>
      </c>
      <c r="P134" s="22">
        <v>549.41999999999996</v>
      </c>
      <c r="Q134" s="22">
        <v>526.51</v>
      </c>
      <c r="R134" s="22">
        <f t="shared" si="0"/>
        <v>0.45</v>
      </c>
      <c r="S134" s="22">
        <f t="shared" si="1"/>
        <v>4.82</v>
      </c>
      <c r="T134" s="22">
        <v>543.98</v>
      </c>
      <c r="U134" s="22">
        <v>534.48</v>
      </c>
      <c r="V134" s="22">
        <f t="shared" si="2"/>
        <v>9.5</v>
      </c>
      <c r="W134" s="22">
        <f t="shared" si="3"/>
        <v>1.7774285286633784</v>
      </c>
      <c r="X134" s="25">
        <v>12</v>
      </c>
      <c r="Y134" s="3"/>
    </row>
    <row r="135" spans="1:25" x14ac:dyDescent="0.3">
      <c r="A135" s="21">
        <v>13</v>
      </c>
      <c r="B135" s="21" t="s">
        <v>34</v>
      </c>
      <c r="C135" s="21" t="s">
        <v>23</v>
      </c>
      <c r="D135" s="22">
        <v>3100</v>
      </c>
      <c r="E135" s="22">
        <v>3100</v>
      </c>
      <c r="F135" s="22">
        <v>3100</v>
      </c>
      <c r="G135" s="22">
        <v>3065</v>
      </c>
      <c r="H135" s="22">
        <v>3065</v>
      </c>
      <c r="I135" s="22">
        <v>3065</v>
      </c>
      <c r="J135" s="22">
        <v>2975</v>
      </c>
      <c r="K135" s="22">
        <v>2975</v>
      </c>
      <c r="L135" s="22">
        <v>2975</v>
      </c>
      <c r="M135" s="22">
        <v>2975</v>
      </c>
      <c r="N135" s="22">
        <v>3068.28</v>
      </c>
      <c r="O135" s="22">
        <v>3110</v>
      </c>
      <c r="P135" s="22">
        <v>3066.78</v>
      </c>
      <c r="Q135" s="22">
        <v>2872.88</v>
      </c>
      <c r="R135" s="22">
        <f t="shared" si="0"/>
        <v>0.05</v>
      </c>
      <c r="S135" s="22">
        <f t="shared" si="1"/>
        <v>6.8</v>
      </c>
      <c r="T135" s="22">
        <v>2960.42</v>
      </c>
      <c r="U135" s="22">
        <v>2800.37</v>
      </c>
      <c r="V135" s="22">
        <f t="shared" si="2"/>
        <v>160.05000000000018</v>
      </c>
      <c r="W135" s="22">
        <f t="shared" si="3"/>
        <v>5.7153161903605678</v>
      </c>
      <c r="X135" s="25">
        <v>13</v>
      </c>
      <c r="Y135" s="3"/>
    </row>
    <row r="136" spans="1:25" x14ac:dyDescent="0.3">
      <c r="A136" s="21">
        <v>14</v>
      </c>
      <c r="B136" s="21" t="s">
        <v>35</v>
      </c>
      <c r="C136" s="21" t="s">
        <v>23</v>
      </c>
      <c r="D136" s="22">
        <v>1500</v>
      </c>
      <c r="E136" s="22">
        <v>1500</v>
      </c>
      <c r="F136" s="22">
        <v>1500</v>
      </c>
      <c r="G136" s="22">
        <v>1565</v>
      </c>
      <c r="H136" s="22">
        <v>1565</v>
      </c>
      <c r="I136" s="22">
        <v>1565</v>
      </c>
      <c r="J136" s="22">
        <v>1515</v>
      </c>
      <c r="K136" s="22">
        <v>1515</v>
      </c>
      <c r="L136" s="22">
        <v>1515</v>
      </c>
      <c r="M136" s="22">
        <v>1500</v>
      </c>
      <c r="N136" s="22">
        <v>1549.86</v>
      </c>
      <c r="O136" s="22">
        <v>1580</v>
      </c>
      <c r="P136" s="22">
        <v>1548.13</v>
      </c>
      <c r="Q136" s="22">
        <v>1461.7</v>
      </c>
      <c r="R136" s="22">
        <f t="shared" si="0"/>
        <v>0.11</v>
      </c>
      <c r="S136" s="22">
        <f t="shared" si="1"/>
        <v>6.03</v>
      </c>
      <c r="T136" s="22">
        <v>1502.18</v>
      </c>
      <c r="U136" s="22">
        <v>1408.25</v>
      </c>
      <c r="V136" s="22">
        <f t="shared" si="2"/>
        <v>93.930000000000064</v>
      </c>
      <c r="W136" s="22">
        <f t="shared" si="3"/>
        <v>6.66998047221729</v>
      </c>
      <c r="X136" s="25">
        <v>14</v>
      </c>
      <c r="Y136" s="3"/>
    </row>
    <row r="137" spans="1:25" x14ac:dyDescent="0.3">
      <c r="A137" s="21">
        <v>15</v>
      </c>
      <c r="B137" s="21" t="s">
        <v>36</v>
      </c>
      <c r="C137" s="21" t="s">
        <v>23</v>
      </c>
      <c r="D137" s="22">
        <v>590</v>
      </c>
      <c r="E137" s="22">
        <v>590</v>
      </c>
      <c r="F137" s="22">
        <v>590</v>
      </c>
      <c r="G137" s="22">
        <v>615</v>
      </c>
      <c r="H137" s="22">
        <v>615</v>
      </c>
      <c r="I137" s="22">
        <v>615</v>
      </c>
      <c r="J137" s="22">
        <v>592</v>
      </c>
      <c r="K137" s="22">
        <v>592</v>
      </c>
      <c r="L137" s="22">
        <v>592</v>
      </c>
      <c r="M137" s="22">
        <v>590</v>
      </c>
      <c r="N137" s="22">
        <v>607.35</v>
      </c>
      <c r="O137" s="22">
        <v>615</v>
      </c>
      <c r="P137" s="22">
        <v>605.66999999999996</v>
      </c>
      <c r="Q137" s="22">
        <v>568.47</v>
      </c>
      <c r="R137" s="22">
        <f t="shared" si="0"/>
        <v>0.28000000000000003</v>
      </c>
      <c r="S137" s="22">
        <f t="shared" si="1"/>
        <v>6.84</v>
      </c>
      <c r="T137" s="22">
        <v>584.15</v>
      </c>
      <c r="U137" s="22">
        <v>550.39</v>
      </c>
      <c r="V137" s="22">
        <f t="shared" si="2"/>
        <v>33.759999999999991</v>
      </c>
      <c r="W137" s="22">
        <f t="shared" si="3"/>
        <v>6.133832373407941</v>
      </c>
      <c r="X137" s="25">
        <v>15</v>
      </c>
      <c r="Y137" s="3"/>
    </row>
    <row r="138" spans="1:25" x14ac:dyDescent="0.3">
      <c r="A138" s="21">
        <v>16</v>
      </c>
      <c r="B138" s="21" t="s">
        <v>37</v>
      </c>
      <c r="C138" s="21" t="s">
        <v>32</v>
      </c>
      <c r="D138" s="22">
        <v>200</v>
      </c>
      <c r="E138" s="22">
        <v>200</v>
      </c>
      <c r="F138" s="22">
        <v>200</v>
      </c>
      <c r="G138" s="22">
        <v>130</v>
      </c>
      <c r="H138" s="22">
        <v>144.68</v>
      </c>
      <c r="I138" s="22">
        <v>160</v>
      </c>
      <c r="J138" s="22">
        <v>150</v>
      </c>
      <c r="K138" s="22">
        <v>150</v>
      </c>
      <c r="L138" s="22">
        <v>150</v>
      </c>
      <c r="M138" s="22">
        <v>120</v>
      </c>
      <c r="N138" s="22">
        <v>187.86</v>
      </c>
      <c r="O138" s="22">
        <v>300</v>
      </c>
      <c r="P138" s="22">
        <v>191.15</v>
      </c>
      <c r="Q138" s="22">
        <v>167.64</v>
      </c>
      <c r="R138" s="22">
        <f t="shared" si="0"/>
        <v>-1.72</v>
      </c>
      <c r="S138" s="22">
        <f t="shared" si="1"/>
        <v>12.06</v>
      </c>
      <c r="T138" s="22">
        <v>161.47999999999999</v>
      </c>
      <c r="U138" s="22">
        <v>149.78</v>
      </c>
      <c r="V138" s="22">
        <f t="shared" si="2"/>
        <v>11.699999999999989</v>
      </c>
      <c r="W138" s="22">
        <f t="shared" si="3"/>
        <v>7.811456803311529</v>
      </c>
      <c r="X138" s="25">
        <v>16</v>
      </c>
      <c r="Y138" s="3"/>
    </row>
    <row r="139" spans="1:25" x14ac:dyDescent="0.3">
      <c r="A139" s="21">
        <v>17</v>
      </c>
      <c r="B139" s="21" t="s">
        <v>38</v>
      </c>
      <c r="C139" s="21" t="s">
        <v>20</v>
      </c>
      <c r="D139" s="22">
        <v>240</v>
      </c>
      <c r="E139" s="22">
        <v>240</v>
      </c>
      <c r="F139" s="22">
        <v>240</v>
      </c>
      <c r="G139" s="22">
        <v>270</v>
      </c>
      <c r="H139" s="22">
        <v>279.93</v>
      </c>
      <c r="I139" s="22">
        <v>290</v>
      </c>
      <c r="J139" s="22">
        <v>250</v>
      </c>
      <c r="K139" s="22">
        <v>275.89</v>
      </c>
      <c r="L139" s="22">
        <v>300</v>
      </c>
      <c r="M139" s="22">
        <v>220</v>
      </c>
      <c r="N139" s="22">
        <v>256.32</v>
      </c>
      <c r="O139" s="22">
        <v>320</v>
      </c>
      <c r="P139" s="22">
        <v>257.36</v>
      </c>
      <c r="Q139" s="22">
        <v>296.5</v>
      </c>
      <c r="R139" s="22">
        <f t="shared" si="0"/>
        <v>-0.4</v>
      </c>
      <c r="S139" s="22">
        <f t="shared" si="1"/>
        <v>-13.55</v>
      </c>
      <c r="T139" s="22">
        <v>277.24</v>
      </c>
      <c r="U139" s="22">
        <v>303.7</v>
      </c>
      <c r="V139" s="22">
        <f t="shared" si="2"/>
        <v>-26.45999999999998</v>
      </c>
      <c r="W139" s="22">
        <f t="shared" si="3"/>
        <v>-8.7125452749423715</v>
      </c>
      <c r="X139" s="25">
        <v>17</v>
      </c>
      <c r="Y139" s="3"/>
    </row>
    <row r="140" spans="1:25" x14ac:dyDescent="0.3">
      <c r="A140" s="21">
        <v>18</v>
      </c>
      <c r="B140" s="21" t="s">
        <v>39</v>
      </c>
      <c r="C140" s="21" t="s">
        <v>20</v>
      </c>
      <c r="D140" s="22">
        <v>320</v>
      </c>
      <c r="E140" s="22">
        <v>320</v>
      </c>
      <c r="F140" s="22">
        <v>320</v>
      </c>
      <c r="G140" s="22">
        <v>420</v>
      </c>
      <c r="H140" s="22">
        <v>429.95</v>
      </c>
      <c r="I140" s="22">
        <v>440</v>
      </c>
      <c r="J140" s="22">
        <v>280</v>
      </c>
      <c r="K140" s="22">
        <v>363.83</v>
      </c>
      <c r="L140" s="22">
        <v>430</v>
      </c>
      <c r="M140" s="22">
        <v>280</v>
      </c>
      <c r="N140" s="22">
        <v>363.28</v>
      </c>
      <c r="O140" s="22">
        <v>480</v>
      </c>
      <c r="P140" s="22">
        <v>367.24</v>
      </c>
      <c r="Q140" s="22">
        <v>397.77</v>
      </c>
      <c r="R140" s="22">
        <f t="shared" si="0"/>
        <v>-1.08</v>
      </c>
      <c r="S140" s="22">
        <f t="shared" si="1"/>
        <v>-8.67</v>
      </c>
      <c r="T140" s="22">
        <v>386.71</v>
      </c>
      <c r="U140" s="22">
        <v>377.95</v>
      </c>
      <c r="V140" s="22">
        <f t="shared" si="2"/>
        <v>8.7599999999999909</v>
      </c>
      <c r="W140" s="22">
        <f t="shared" si="3"/>
        <v>2.3177669003836598</v>
      </c>
      <c r="X140" s="25">
        <v>18</v>
      </c>
      <c r="Y140" s="3"/>
    </row>
    <row r="141" spans="1:25" x14ac:dyDescent="0.3">
      <c r="A141" s="21">
        <v>19</v>
      </c>
      <c r="B141" s="21" t="s">
        <v>40</v>
      </c>
      <c r="C141" s="21" t="s">
        <v>20</v>
      </c>
      <c r="D141" s="22">
        <v>440</v>
      </c>
      <c r="E141" s="22">
        <v>440</v>
      </c>
      <c r="F141" s="22">
        <v>440</v>
      </c>
      <c r="G141" s="22">
        <v>440</v>
      </c>
      <c r="H141" s="22">
        <v>449.95</v>
      </c>
      <c r="I141" s="22">
        <v>460</v>
      </c>
      <c r="J141" s="22">
        <v>400</v>
      </c>
      <c r="K141" s="22">
        <v>457.89</v>
      </c>
      <c r="L141" s="22">
        <v>500</v>
      </c>
      <c r="M141" s="22">
        <v>360</v>
      </c>
      <c r="N141" s="22">
        <v>450.33</v>
      </c>
      <c r="O141" s="22">
        <v>540</v>
      </c>
      <c r="P141" s="22">
        <v>455.19</v>
      </c>
      <c r="Q141" s="22">
        <v>455.96</v>
      </c>
      <c r="R141" s="22">
        <f t="shared" si="0"/>
        <v>-1.07</v>
      </c>
      <c r="S141" s="22">
        <f t="shared" si="1"/>
        <v>-1.23</v>
      </c>
      <c r="T141" s="22">
        <v>452.55</v>
      </c>
      <c r="U141" s="22">
        <v>507.5</v>
      </c>
      <c r="V141" s="22">
        <f t="shared" si="2"/>
        <v>-54.949999999999989</v>
      </c>
      <c r="W141" s="22">
        <f t="shared" si="3"/>
        <v>-10.827586206896541</v>
      </c>
      <c r="X141" s="25">
        <v>19</v>
      </c>
      <c r="Y141" s="3"/>
    </row>
    <row r="142" spans="1:25" x14ac:dyDescent="0.3">
      <c r="A142" s="21">
        <v>20</v>
      </c>
      <c r="B142" s="21" t="s">
        <v>41</v>
      </c>
      <c r="C142" s="21" t="s">
        <v>20</v>
      </c>
      <c r="D142" s="22">
        <v>230</v>
      </c>
      <c r="E142" s="22">
        <v>230</v>
      </c>
      <c r="F142" s="22">
        <v>230</v>
      </c>
      <c r="G142" s="22">
        <v>230</v>
      </c>
      <c r="H142" s="22">
        <v>239.91</v>
      </c>
      <c r="I142" s="22">
        <v>250</v>
      </c>
      <c r="J142" s="22">
        <v>280</v>
      </c>
      <c r="K142" s="22">
        <v>293.18</v>
      </c>
      <c r="L142" s="22">
        <v>300</v>
      </c>
      <c r="M142" s="22">
        <v>200</v>
      </c>
      <c r="N142" s="22">
        <v>245.64</v>
      </c>
      <c r="O142" s="22">
        <v>320</v>
      </c>
      <c r="P142" s="22">
        <v>245.71</v>
      </c>
      <c r="Q142" s="22">
        <v>312.85000000000002</v>
      </c>
      <c r="R142" s="22">
        <f t="shared" si="0"/>
        <v>-0.03</v>
      </c>
      <c r="S142" s="22">
        <f t="shared" si="1"/>
        <v>-21.48</v>
      </c>
      <c r="T142" s="22">
        <v>271.91000000000003</v>
      </c>
      <c r="U142" s="22">
        <v>348.88</v>
      </c>
      <c r="V142" s="22">
        <f t="shared" si="2"/>
        <v>-76.96999999999997</v>
      </c>
      <c r="W142" s="22">
        <f t="shared" si="3"/>
        <v>-22.062027058014209</v>
      </c>
      <c r="X142" s="25">
        <v>20</v>
      </c>
      <c r="Y142" s="3"/>
    </row>
    <row r="143" spans="1:25" x14ac:dyDescent="0.3">
      <c r="A143" s="21">
        <v>21</v>
      </c>
      <c r="B143" s="21" t="s">
        <v>42</v>
      </c>
      <c r="C143" s="21" t="s">
        <v>20</v>
      </c>
      <c r="D143" s="22">
        <v>30</v>
      </c>
      <c r="E143" s="22">
        <v>33.020000000000003</v>
      </c>
      <c r="F143" s="22">
        <v>40</v>
      </c>
      <c r="G143" s="22">
        <v>45</v>
      </c>
      <c r="H143" s="22">
        <v>52.28</v>
      </c>
      <c r="I143" s="22">
        <v>60</v>
      </c>
      <c r="J143" s="22">
        <v>80</v>
      </c>
      <c r="K143" s="22">
        <v>80</v>
      </c>
      <c r="L143" s="22">
        <v>80</v>
      </c>
      <c r="M143" s="22">
        <v>30</v>
      </c>
      <c r="N143" s="22">
        <v>56.6</v>
      </c>
      <c r="O143" s="22">
        <v>90</v>
      </c>
      <c r="P143" s="22">
        <v>54.58</v>
      </c>
      <c r="Q143" s="22">
        <v>84.09</v>
      </c>
      <c r="R143" s="22">
        <f t="shared" si="0"/>
        <v>3.7</v>
      </c>
      <c r="S143" s="22">
        <f t="shared" si="1"/>
        <v>-32.69</v>
      </c>
      <c r="T143" s="22">
        <v>54.58</v>
      </c>
      <c r="U143" s="22">
        <v>85.66</v>
      </c>
      <c r="V143" s="22">
        <f t="shared" si="2"/>
        <v>-31.08</v>
      </c>
      <c r="W143" s="22">
        <f t="shared" si="3"/>
        <v>-36.28297922017277</v>
      </c>
      <c r="X143" s="25">
        <v>21</v>
      </c>
      <c r="Y143" s="3"/>
    </row>
    <row r="144" spans="1:25" x14ac:dyDescent="0.3">
      <c r="A144" s="21">
        <v>22</v>
      </c>
      <c r="B144" s="21" t="s">
        <v>43</v>
      </c>
      <c r="C144" s="21" t="s">
        <v>20</v>
      </c>
      <c r="D144" s="22">
        <v>100</v>
      </c>
      <c r="E144" s="22">
        <v>100</v>
      </c>
      <c r="F144" s="22">
        <v>100</v>
      </c>
      <c r="G144" s="22">
        <v>90</v>
      </c>
      <c r="H144" s="22">
        <v>104.56</v>
      </c>
      <c r="I144" s="22">
        <v>120</v>
      </c>
      <c r="J144" s="22">
        <v>80</v>
      </c>
      <c r="K144" s="22">
        <v>86.18</v>
      </c>
      <c r="L144" s="22">
        <v>100</v>
      </c>
      <c r="M144" s="22">
        <v>80</v>
      </c>
      <c r="N144" s="22">
        <v>101.67</v>
      </c>
      <c r="O144" s="22">
        <v>150</v>
      </c>
      <c r="P144" s="22">
        <v>101.62</v>
      </c>
      <c r="Q144" s="22">
        <v>56</v>
      </c>
      <c r="R144" s="22">
        <f t="shared" si="0"/>
        <v>0.05</v>
      </c>
      <c r="S144" s="22">
        <f t="shared" si="1"/>
        <v>81.55</v>
      </c>
      <c r="T144" s="22">
        <v>81.61</v>
      </c>
      <c r="U144" s="22">
        <v>96.52</v>
      </c>
      <c r="V144" s="22">
        <f t="shared" si="2"/>
        <v>-14.909999999999997</v>
      </c>
      <c r="W144" s="22">
        <f t="shared" si="3"/>
        <v>-15.447575631993374</v>
      </c>
      <c r="X144" s="25">
        <v>22</v>
      </c>
      <c r="Y144" s="3"/>
    </row>
    <row r="145" spans="1:25" x14ac:dyDescent="0.3">
      <c r="A145" s="21">
        <v>23</v>
      </c>
      <c r="B145" s="21" t="s">
        <v>44</v>
      </c>
      <c r="C145" s="21" t="s">
        <v>20</v>
      </c>
      <c r="D145" s="22">
        <v>350</v>
      </c>
      <c r="E145" s="22">
        <v>350</v>
      </c>
      <c r="F145" s="22">
        <v>350</v>
      </c>
      <c r="G145" s="22">
        <v>220</v>
      </c>
      <c r="H145" s="22">
        <v>234.8</v>
      </c>
      <c r="I145" s="22">
        <v>250</v>
      </c>
      <c r="J145" s="22">
        <v>250</v>
      </c>
      <c r="K145" s="22">
        <v>282.31</v>
      </c>
      <c r="L145" s="22">
        <v>300</v>
      </c>
      <c r="M145" s="22">
        <v>220</v>
      </c>
      <c r="N145" s="22">
        <v>350.46</v>
      </c>
      <c r="O145" s="22">
        <v>480</v>
      </c>
      <c r="P145" s="22">
        <v>250.47</v>
      </c>
      <c r="Q145" s="22">
        <v>99.27</v>
      </c>
      <c r="R145" s="22">
        <f t="shared" si="0"/>
        <v>39.92</v>
      </c>
      <c r="S145" s="22">
        <f t="shared" si="1"/>
        <v>253.04</v>
      </c>
      <c r="T145" s="22">
        <v>102.1</v>
      </c>
      <c r="U145" s="22">
        <v>100.95</v>
      </c>
      <c r="V145" s="22">
        <f t="shared" si="2"/>
        <v>1.1499999999999915</v>
      </c>
      <c r="W145" s="22">
        <f t="shared" si="3"/>
        <v>1.1391778107974204</v>
      </c>
      <c r="X145" s="25">
        <v>23</v>
      </c>
      <c r="Y145" s="3"/>
    </row>
    <row r="146" spans="1:25" x14ac:dyDescent="0.3">
      <c r="A146" s="21">
        <v>24</v>
      </c>
      <c r="B146" s="21" t="s">
        <v>45</v>
      </c>
      <c r="C146" s="21" t="s">
        <v>20</v>
      </c>
      <c r="D146" s="22">
        <v>145</v>
      </c>
      <c r="E146" s="22">
        <v>145</v>
      </c>
      <c r="F146" s="22">
        <v>145</v>
      </c>
      <c r="G146" s="22">
        <v>150</v>
      </c>
      <c r="H146" s="22">
        <v>151.49</v>
      </c>
      <c r="I146" s="22">
        <v>154</v>
      </c>
      <c r="J146" s="22">
        <v>150</v>
      </c>
      <c r="K146" s="22">
        <v>153.26</v>
      </c>
      <c r="L146" s="22">
        <v>160</v>
      </c>
      <c r="M146" s="22">
        <v>140</v>
      </c>
      <c r="N146" s="22">
        <v>148.22999999999999</v>
      </c>
      <c r="O146" s="22">
        <v>160</v>
      </c>
      <c r="P146" s="22">
        <v>148.36000000000001</v>
      </c>
      <c r="Q146" s="22">
        <v>180.04</v>
      </c>
      <c r="R146" s="22">
        <f t="shared" si="0"/>
        <v>-0.09</v>
      </c>
      <c r="S146" s="22">
        <f t="shared" si="1"/>
        <v>-17.670000000000002</v>
      </c>
      <c r="T146" s="22">
        <v>165.93</v>
      </c>
      <c r="U146" s="22">
        <v>151.12</v>
      </c>
      <c r="V146" s="22">
        <f t="shared" si="2"/>
        <v>14.810000000000002</v>
      </c>
      <c r="W146" s="22">
        <f t="shared" si="3"/>
        <v>9.8001588141874123</v>
      </c>
      <c r="X146" s="25">
        <v>24</v>
      </c>
      <c r="Y146" s="3"/>
    </row>
    <row r="147" spans="1:25" x14ac:dyDescent="0.3">
      <c r="A147" s="21">
        <v>25</v>
      </c>
      <c r="B147" s="21" t="s">
        <v>46</v>
      </c>
      <c r="C147" s="21" t="s">
        <v>20</v>
      </c>
      <c r="D147" s="22">
        <v>230</v>
      </c>
      <c r="E147" s="22">
        <v>230</v>
      </c>
      <c r="F147" s="22">
        <v>230</v>
      </c>
      <c r="G147" s="22">
        <v>240</v>
      </c>
      <c r="H147" s="22">
        <v>244.97</v>
      </c>
      <c r="I147" s="22">
        <v>250</v>
      </c>
      <c r="J147" s="22">
        <v>240</v>
      </c>
      <c r="K147" s="22">
        <v>246.62</v>
      </c>
      <c r="L147" s="22">
        <v>250</v>
      </c>
      <c r="M147" s="22">
        <v>160</v>
      </c>
      <c r="N147" s="22">
        <v>228.19</v>
      </c>
      <c r="O147" s="22">
        <v>290</v>
      </c>
      <c r="P147" s="22">
        <v>228.09</v>
      </c>
      <c r="Q147" s="22">
        <v>239.21</v>
      </c>
      <c r="R147" s="22">
        <f t="shared" si="0"/>
        <v>0.04</v>
      </c>
      <c r="S147" s="22">
        <f t="shared" si="1"/>
        <v>-4.6100000000000003</v>
      </c>
      <c r="T147" s="22">
        <v>233.9</v>
      </c>
      <c r="U147" s="22">
        <v>213.8</v>
      </c>
      <c r="V147" s="22">
        <f t="shared" si="2"/>
        <v>20.099999999999994</v>
      </c>
      <c r="W147" s="22">
        <f t="shared" si="3"/>
        <v>9.4013096351730496</v>
      </c>
      <c r="X147" s="25">
        <v>25</v>
      </c>
      <c r="Y147" s="3"/>
    </row>
    <row r="148" spans="1:25" x14ac:dyDescent="0.3">
      <c r="A148" s="21">
        <v>26</v>
      </c>
      <c r="B148" s="21" t="s">
        <v>47</v>
      </c>
      <c r="C148" s="21" t="s">
        <v>23</v>
      </c>
      <c r="D148" s="22">
        <v>60</v>
      </c>
      <c r="E148" s="22">
        <v>60</v>
      </c>
      <c r="F148" s="22">
        <v>60</v>
      </c>
      <c r="G148" s="22">
        <v>60</v>
      </c>
      <c r="H148" s="22">
        <v>60</v>
      </c>
      <c r="I148" s="22">
        <v>60</v>
      </c>
      <c r="J148" s="22">
        <v>70</v>
      </c>
      <c r="K148" s="22">
        <v>70</v>
      </c>
      <c r="L148" s="22">
        <v>70</v>
      </c>
      <c r="M148" s="22">
        <v>60</v>
      </c>
      <c r="N148" s="22">
        <v>62.37</v>
      </c>
      <c r="O148" s="22">
        <v>80</v>
      </c>
      <c r="P148" s="22">
        <v>62.37</v>
      </c>
      <c r="Q148" s="22">
        <v>72.599999999999994</v>
      </c>
      <c r="R148" s="22">
        <f t="shared" si="0"/>
        <v>0</v>
      </c>
      <c r="S148" s="22">
        <f t="shared" si="1"/>
        <v>-14.09</v>
      </c>
      <c r="T148" s="22">
        <v>67.319999999999993</v>
      </c>
      <c r="U148" s="22">
        <v>71.510000000000005</v>
      </c>
      <c r="V148" s="22">
        <f t="shared" si="2"/>
        <v>-4.1900000000000119</v>
      </c>
      <c r="W148" s="22">
        <f t="shared" si="3"/>
        <v>-5.8593203747727785</v>
      </c>
      <c r="X148" s="25">
        <v>26</v>
      </c>
      <c r="Y148" s="3"/>
    </row>
    <row r="149" spans="1:25" x14ac:dyDescent="0.3">
      <c r="A149" s="21">
        <v>27</v>
      </c>
      <c r="B149" s="21" t="s">
        <v>48</v>
      </c>
      <c r="C149" s="21" t="s">
        <v>23</v>
      </c>
      <c r="D149" s="22">
        <v>320</v>
      </c>
      <c r="E149" s="22">
        <v>320</v>
      </c>
      <c r="F149" s="22">
        <v>320</v>
      </c>
      <c r="G149" s="22">
        <v>380</v>
      </c>
      <c r="H149" s="22">
        <v>380</v>
      </c>
      <c r="I149" s="22">
        <v>380</v>
      </c>
      <c r="J149" s="22">
        <v>320</v>
      </c>
      <c r="K149" s="22">
        <v>320</v>
      </c>
      <c r="L149" s="22">
        <v>320</v>
      </c>
      <c r="M149" s="22">
        <v>320</v>
      </c>
      <c r="N149" s="22">
        <v>368.65</v>
      </c>
      <c r="O149" s="22">
        <v>380</v>
      </c>
      <c r="P149" s="22">
        <v>368.65</v>
      </c>
      <c r="Q149" s="22">
        <v>320</v>
      </c>
      <c r="R149" s="22">
        <f t="shared" si="0"/>
        <v>0</v>
      </c>
      <c r="S149" s="22">
        <f t="shared" si="1"/>
        <v>15.2</v>
      </c>
      <c r="T149" s="22">
        <v>344.03</v>
      </c>
      <c r="U149" s="22">
        <v>321.81</v>
      </c>
      <c r="V149" s="22">
        <f t="shared" si="2"/>
        <v>22.21999999999997</v>
      </c>
      <c r="W149" s="22">
        <f t="shared" si="3"/>
        <v>6.9046953171125693</v>
      </c>
      <c r="X149" s="25">
        <v>27</v>
      </c>
      <c r="Y149" s="3"/>
    </row>
    <row r="150" spans="1:25" x14ac:dyDescent="0.3">
      <c r="A150" s="21">
        <v>28</v>
      </c>
      <c r="B150" s="21" t="s">
        <v>49</v>
      </c>
      <c r="C150" s="21" t="s">
        <v>20</v>
      </c>
      <c r="D150" s="22">
        <v>500</v>
      </c>
      <c r="E150" s="22">
        <v>500</v>
      </c>
      <c r="F150" s="22">
        <v>500</v>
      </c>
      <c r="G150" s="22">
        <v>300</v>
      </c>
      <c r="H150" s="22">
        <v>314.85000000000002</v>
      </c>
      <c r="I150" s="22">
        <v>330</v>
      </c>
      <c r="J150" s="22">
        <v>600</v>
      </c>
      <c r="K150" s="22">
        <v>600</v>
      </c>
      <c r="L150" s="22">
        <v>600</v>
      </c>
      <c r="M150" s="22">
        <v>250</v>
      </c>
      <c r="N150" s="22">
        <v>370.35</v>
      </c>
      <c r="O150" s="22">
        <v>600</v>
      </c>
      <c r="P150" s="22">
        <v>368.84</v>
      </c>
      <c r="Q150" s="22">
        <v>377.25</v>
      </c>
      <c r="R150" s="22">
        <f t="shared" si="0"/>
        <v>0.41</v>
      </c>
      <c r="S150" s="22">
        <f t="shared" si="1"/>
        <v>-1.83</v>
      </c>
      <c r="T150" s="22">
        <v>423.98</v>
      </c>
      <c r="U150" s="22">
        <v>538.57000000000005</v>
      </c>
      <c r="V150" s="22">
        <f t="shared" si="2"/>
        <v>-114.59000000000003</v>
      </c>
      <c r="W150" s="22">
        <f t="shared" si="3"/>
        <v>-21.276714261841548</v>
      </c>
      <c r="X150" s="25">
        <v>28</v>
      </c>
      <c r="Y150" s="3"/>
    </row>
    <row r="151" spans="1:25" x14ac:dyDescent="0.3">
      <c r="A151" s="21">
        <v>29</v>
      </c>
      <c r="B151" s="21" t="s">
        <v>50</v>
      </c>
      <c r="C151" s="21" t="s">
        <v>23</v>
      </c>
      <c r="D151" s="22">
        <v>447</v>
      </c>
      <c r="E151" s="22">
        <v>447</v>
      </c>
      <c r="F151" s="22">
        <v>447</v>
      </c>
      <c r="G151" s="22">
        <v>447</v>
      </c>
      <c r="H151" s="22">
        <v>447</v>
      </c>
      <c r="I151" s="22">
        <v>447</v>
      </c>
      <c r="J151" s="22">
        <v>447</v>
      </c>
      <c r="K151" s="22">
        <v>447.05</v>
      </c>
      <c r="L151" s="22">
        <v>447.1</v>
      </c>
      <c r="M151" s="22">
        <v>447</v>
      </c>
      <c r="N151" s="22">
        <v>456.7</v>
      </c>
      <c r="O151" s="22">
        <v>469.42</v>
      </c>
      <c r="P151" s="22">
        <v>454.04</v>
      </c>
      <c r="Q151" s="22">
        <v>447.07</v>
      </c>
      <c r="R151" s="22">
        <f t="shared" si="0"/>
        <v>0.59</v>
      </c>
      <c r="S151" s="22">
        <f t="shared" si="1"/>
        <v>2.15</v>
      </c>
      <c r="T151" s="22">
        <v>447.06</v>
      </c>
      <c r="U151" s="22">
        <v>509.02</v>
      </c>
      <c r="V151" s="22">
        <f t="shared" si="2"/>
        <v>-61.95999999999998</v>
      </c>
      <c r="W151" s="22">
        <f t="shared" si="3"/>
        <v>-12.172409728497897</v>
      </c>
      <c r="X151" s="25">
        <v>29</v>
      </c>
      <c r="Y151" s="3"/>
    </row>
    <row r="152" spans="1:25" x14ac:dyDescent="0.3">
      <c r="A152" s="21">
        <v>30</v>
      </c>
      <c r="B152" s="21" t="s">
        <v>51</v>
      </c>
      <c r="C152" s="21" t="s">
        <v>52</v>
      </c>
      <c r="D152" s="22">
        <v>300</v>
      </c>
      <c r="E152" s="22">
        <v>300</v>
      </c>
      <c r="F152" s="22">
        <v>300</v>
      </c>
      <c r="G152" s="22">
        <v>350</v>
      </c>
      <c r="H152" s="22">
        <v>359.91</v>
      </c>
      <c r="I152" s="22">
        <v>370</v>
      </c>
      <c r="J152" s="22">
        <v>330</v>
      </c>
      <c r="K152" s="22">
        <v>343.2</v>
      </c>
      <c r="L152" s="22">
        <v>350</v>
      </c>
      <c r="M152" s="22">
        <v>200</v>
      </c>
      <c r="N152" s="22">
        <v>322.33</v>
      </c>
      <c r="O152" s="22">
        <v>450</v>
      </c>
      <c r="P152" s="22">
        <v>321.18</v>
      </c>
      <c r="Q152" s="22">
        <v>307.63</v>
      </c>
      <c r="R152" s="22">
        <f t="shared" si="0"/>
        <v>0.36</v>
      </c>
      <c r="S152" s="22">
        <f t="shared" si="1"/>
        <v>4.78</v>
      </c>
      <c r="T152" s="22">
        <v>315.62</v>
      </c>
      <c r="U152" s="22">
        <v>297.24</v>
      </c>
      <c r="V152" s="22">
        <f t="shared" si="2"/>
        <v>18.379999999999995</v>
      </c>
      <c r="W152" s="22">
        <f t="shared" si="3"/>
        <v>6.1835553761270319</v>
      </c>
      <c r="X152" s="25">
        <v>30</v>
      </c>
      <c r="Y152" s="3"/>
    </row>
    <row r="153" spans="1:25" x14ac:dyDescent="0.3">
      <c r="A153" s="21">
        <v>31</v>
      </c>
      <c r="B153" s="21" t="s">
        <v>53</v>
      </c>
      <c r="C153" s="21" t="s">
        <v>52</v>
      </c>
      <c r="D153" s="22">
        <v>130</v>
      </c>
      <c r="E153" s="22">
        <v>130</v>
      </c>
      <c r="F153" s="22">
        <v>130</v>
      </c>
      <c r="G153" s="22">
        <v>180</v>
      </c>
      <c r="H153" s="22">
        <v>189.82</v>
      </c>
      <c r="I153" s="22">
        <v>200</v>
      </c>
      <c r="J153" s="22">
        <v>180</v>
      </c>
      <c r="K153" s="22">
        <v>193.1</v>
      </c>
      <c r="L153" s="22">
        <v>200</v>
      </c>
      <c r="M153" s="22">
        <v>130</v>
      </c>
      <c r="N153" s="22">
        <v>175.48</v>
      </c>
      <c r="O153" s="22">
        <v>260</v>
      </c>
      <c r="P153" s="22">
        <v>174.23</v>
      </c>
      <c r="Q153" s="22">
        <v>167.17</v>
      </c>
      <c r="R153" s="22">
        <f t="shared" si="0"/>
        <v>0.72</v>
      </c>
      <c r="S153" s="22">
        <f t="shared" si="1"/>
        <v>4.97</v>
      </c>
      <c r="T153" s="22">
        <v>168.69</v>
      </c>
      <c r="U153" s="22">
        <v>160.91</v>
      </c>
      <c r="V153" s="22">
        <f t="shared" si="2"/>
        <v>7.7800000000000011</v>
      </c>
      <c r="W153" s="22">
        <f t="shared" si="3"/>
        <v>4.8350009321981275</v>
      </c>
      <c r="X153" s="25">
        <v>31</v>
      </c>
      <c r="Y153" s="3"/>
    </row>
    <row r="154" spans="1:25" x14ac:dyDescent="0.3">
      <c r="A154" s="21">
        <v>32</v>
      </c>
      <c r="B154" s="21" t="s">
        <v>54</v>
      </c>
      <c r="C154" s="21" t="s">
        <v>55</v>
      </c>
      <c r="D154" s="22">
        <v>50</v>
      </c>
      <c r="E154" s="22">
        <v>56.46</v>
      </c>
      <c r="F154" s="22">
        <v>60</v>
      </c>
      <c r="G154" s="22">
        <v>80</v>
      </c>
      <c r="H154" s="22">
        <v>80</v>
      </c>
      <c r="I154" s="22">
        <v>80</v>
      </c>
      <c r="J154" s="22">
        <v>50</v>
      </c>
      <c r="K154" s="22">
        <v>50</v>
      </c>
      <c r="L154" s="22">
        <v>50</v>
      </c>
      <c r="M154" s="22">
        <v>50</v>
      </c>
      <c r="N154" s="22">
        <v>65.34</v>
      </c>
      <c r="O154" s="22">
        <v>80</v>
      </c>
      <c r="P154" s="22">
        <v>65.3</v>
      </c>
      <c r="Q154" s="22">
        <v>61.38</v>
      </c>
      <c r="R154" s="22">
        <f t="shared" si="0"/>
        <v>0.06</v>
      </c>
      <c r="S154" s="22">
        <f t="shared" si="1"/>
        <v>6.45</v>
      </c>
      <c r="T154" s="22">
        <v>62.9</v>
      </c>
      <c r="U154" s="22">
        <v>60.95</v>
      </c>
      <c r="V154" s="22">
        <f t="shared" si="2"/>
        <v>1.9499999999999957</v>
      </c>
      <c r="W154" s="22">
        <f t="shared" si="3"/>
        <v>3.1993437243642404</v>
      </c>
      <c r="X154" s="25">
        <v>32</v>
      </c>
      <c r="Y154" s="3"/>
    </row>
    <row r="155" spans="1:25" x14ac:dyDescent="0.3">
      <c r="A155" s="21">
        <v>33</v>
      </c>
      <c r="B155" s="21" t="s">
        <v>56</v>
      </c>
      <c r="C155" s="21" t="s">
        <v>23</v>
      </c>
      <c r="D155" s="22">
        <v>250</v>
      </c>
      <c r="E155" s="22">
        <v>253.29</v>
      </c>
      <c r="F155" s="22">
        <v>260</v>
      </c>
      <c r="G155" s="22">
        <v>250</v>
      </c>
      <c r="H155" s="22">
        <v>250</v>
      </c>
      <c r="I155" s="22">
        <v>250</v>
      </c>
      <c r="J155" s="22">
        <v>250</v>
      </c>
      <c r="K155" s="22">
        <v>250</v>
      </c>
      <c r="L155" s="22">
        <v>250</v>
      </c>
      <c r="M155" s="22">
        <v>240</v>
      </c>
      <c r="N155" s="22">
        <v>252.06</v>
      </c>
      <c r="O155" s="22">
        <v>270</v>
      </c>
      <c r="P155" s="22">
        <v>252.06</v>
      </c>
      <c r="Q155" s="22">
        <v>242.42</v>
      </c>
      <c r="R155" s="22">
        <f t="shared" ref="R155:R173" si="4">ROUND(N155/P155* 100 - 100,2)</f>
        <v>0</v>
      </c>
      <c r="S155" s="22">
        <f t="shared" ref="S155:S173" si="5">ROUND(N155/Q155* 100 - 100,2)</f>
        <v>3.98</v>
      </c>
      <c r="T155" s="22">
        <v>245.1</v>
      </c>
      <c r="U155" s="22">
        <v>234.79</v>
      </c>
      <c r="V155" s="22">
        <f t="shared" ref="V155:V173" si="6">T155-U155</f>
        <v>10.310000000000002</v>
      </c>
      <c r="W155" s="22">
        <f t="shared" ref="W155:W173" si="7">T155/U155*100-100</f>
        <v>4.3911580561352821</v>
      </c>
      <c r="X155" s="25">
        <v>33</v>
      </c>
      <c r="Y155" s="3"/>
    </row>
    <row r="156" spans="1:25" x14ac:dyDescent="0.3">
      <c r="A156" s="21">
        <v>34</v>
      </c>
      <c r="B156" s="21" t="s">
        <v>57</v>
      </c>
      <c r="C156" s="21" t="s">
        <v>58</v>
      </c>
      <c r="D156" s="22">
        <v>700</v>
      </c>
      <c r="E156" s="22">
        <v>700</v>
      </c>
      <c r="F156" s="22">
        <v>700</v>
      </c>
      <c r="G156" s="22">
        <v>700</v>
      </c>
      <c r="H156" s="22">
        <v>748.89</v>
      </c>
      <c r="I156" s="22">
        <v>800</v>
      </c>
      <c r="J156" s="22">
        <v>400</v>
      </c>
      <c r="K156" s="22">
        <v>400</v>
      </c>
      <c r="L156" s="22">
        <v>400</v>
      </c>
      <c r="M156" s="22">
        <v>400</v>
      </c>
      <c r="N156" s="22">
        <v>688.69</v>
      </c>
      <c r="O156" s="22">
        <v>850</v>
      </c>
      <c r="P156" s="22">
        <v>688.69</v>
      </c>
      <c r="Q156" s="22">
        <v>656.91</v>
      </c>
      <c r="R156" s="22">
        <f t="shared" si="4"/>
        <v>0</v>
      </c>
      <c r="S156" s="22">
        <f t="shared" si="5"/>
        <v>4.84</v>
      </c>
      <c r="T156" s="22">
        <v>665.65</v>
      </c>
      <c r="U156" s="22">
        <v>625.57000000000005</v>
      </c>
      <c r="V156" s="22">
        <f t="shared" si="6"/>
        <v>40.079999999999927</v>
      </c>
      <c r="W156" s="22">
        <f t="shared" si="7"/>
        <v>6.4069568553479144</v>
      </c>
      <c r="X156" s="25">
        <v>34</v>
      </c>
      <c r="Y156" s="3"/>
    </row>
    <row r="157" spans="1:25" x14ac:dyDescent="0.3">
      <c r="A157" s="21">
        <v>35</v>
      </c>
      <c r="B157" s="21" t="s">
        <v>59</v>
      </c>
      <c r="C157" s="21" t="s">
        <v>58</v>
      </c>
      <c r="D157" s="22">
        <v>450</v>
      </c>
      <c r="E157" s="22">
        <v>476.22</v>
      </c>
      <c r="F157" s="22">
        <v>500</v>
      </c>
      <c r="G157" s="22">
        <v>230</v>
      </c>
      <c r="H157" s="22">
        <v>239.86</v>
      </c>
      <c r="I157" s="22">
        <v>250</v>
      </c>
      <c r="J157" s="22">
        <v>350</v>
      </c>
      <c r="K157" s="22">
        <v>372.77</v>
      </c>
      <c r="L157" s="22">
        <v>400</v>
      </c>
      <c r="M157" s="22">
        <v>230</v>
      </c>
      <c r="N157" s="22">
        <v>544.66999999999996</v>
      </c>
      <c r="O157" s="22">
        <v>900</v>
      </c>
      <c r="P157" s="22">
        <v>544.66999999999996</v>
      </c>
      <c r="Q157" s="22">
        <v>499.58</v>
      </c>
      <c r="R157" s="22">
        <f t="shared" si="4"/>
        <v>0</v>
      </c>
      <c r="S157" s="22">
        <f t="shared" si="5"/>
        <v>9.0299999999999994</v>
      </c>
      <c r="T157" s="22">
        <v>516.79</v>
      </c>
      <c r="U157" s="22">
        <v>480.39</v>
      </c>
      <c r="V157" s="22">
        <f t="shared" si="6"/>
        <v>36.399999999999977</v>
      </c>
      <c r="W157" s="22">
        <f t="shared" si="7"/>
        <v>7.577176877120678</v>
      </c>
      <c r="X157" s="25">
        <v>35</v>
      </c>
      <c r="Y157" s="3"/>
    </row>
    <row r="158" spans="1:25" x14ac:dyDescent="0.3">
      <c r="A158" s="21">
        <v>36</v>
      </c>
      <c r="B158" s="21" t="s">
        <v>60</v>
      </c>
      <c r="C158" s="21" t="s">
        <v>58</v>
      </c>
      <c r="D158" s="22">
        <v>650</v>
      </c>
      <c r="E158" s="22">
        <v>650</v>
      </c>
      <c r="F158" s="22">
        <v>650</v>
      </c>
      <c r="G158" s="22">
        <v>700</v>
      </c>
      <c r="H158" s="22">
        <v>748.89</v>
      </c>
      <c r="I158" s="22">
        <v>800</v>
      </c>
      <c r="J158" s="22">
        <v>400</v>
      </c>
      <c r="K158" s="22">
        <v>400</v>
      </c>
      <c r="L158" s="22">
        <v>400</v>
      </c>
      <c r="M158" s="22">
        <v>400</v>
      </c>
      <c r="N158" s="22">
        <v>680.92</v>
      </c>
      <c r="O158" s="22">
        <v>900</v>
      </c>
      <c r="P158" s="22">
        <v>680.92</v>
      </c>
      <c r="Q158" s="22">
        <v>656.59</v>
      </c>
      <c r="R158" s="22">
        <f t="shared" si="4"/>
        <v>0</v>
      </c>
      <c r="S158" s="22">
        <f t="shared" si="5"/>
        <v>3.71</v>
      </c>
      <c r="T158" s="22">
        <v>665.62</v>
      </c>
      <c r="U158" s="22">
        <v>622.49</v>
      </c>
      <c r="V158" s="22">
        <f t="shared" si="6"/>
        <v>43.129999999999995</v>
      </c>
      <c r="W158" s="22">
        <f t="shared" si="7"/>
        <v>6.9286253594435152</v>
      </c>
      <c r="X158" s="25">
        <v>36</v>
      </c>
      <c r="Y158" s="3"/>
    </row>
    <row r="159" spans="1:25" x14ac:dyDescent="0.3">
      <c r="A159" s="21">
        <v>37</v>
      </c>
      <c r="B159" s="21" t="s">
        <v>61</v>
      </c>
      <c r="C159" s="21" t="s">
        <v>58</v>
      </c>
      <c r="D159" s="22">
        <v>250</v>
      </c>
      <c r="E159" s="22">
        <v>250</v>
      </c>
      <c r="F159" s="22">
        <v>250</v>
      </c>
      <c r="G159" s="22">
        <v>200</v>
      </c>
      <c r="H159" s="22">
        <v>219.62</v>
      </c>
      <c r="I159" s="22">
        <v>240</v>
      </c>
      <c r="J159" s="22">
        <v>250</v>
      </c>
      <c r="K159" s="22">
        <v>282.31</v>
      </c>
      <c r="L159" s="22">
        <v>300</v>
      </c>
      <c r="M159" s="22">
        <v>200</v>
      </c>
      <c r="N159" s="22">
        <v>318.06</v>
      </c>
      <c r="O159" s="22">
        <v>490</v>
      </c>
      <c r="P159" s="22">
        <v>318.06</v>
      </c>
      <c r="Q159" s="22">
        <v>301.89999999999998</v>
      </c>
      <c r="R159" s="22">
        <f t="shared" si="4"/>
        <v>0</v>
      </c>
      <c r="S159" s="22">
        <f t="shared" si="5"/>
        <v>5.35</v>
      </c>
      <c r="T159" s="22">
        <v>308.19</v>
      </c>
      <c r="U159" s="22">
        <v>292.81</v>
      </c>
      <c r="V159" s="22">
        <f t="shared" si="6"/>
        <v>15.379999999999995</v>
      </c>
      <c r="W159" s="22">
        <f t="shared" si="7"/>
        <v>5.2525528499709679</v>
      </c>
      <c r="X159" s="25">
        <v>37</v>
      </c>
      <c r="Y159" s="3"/>
    </row>
    <row r="160" spans="1:25" x14ac:dyDescent="0.3">
      <c r="A160" s="21">
        <v>38</v>
      </c>
      <c r="B160" s="21" t="s">
        <v>62</v>
      </c>
      <c r="C160" s="21" t="s">
        <v>63</v>
      </c>
      <c r="D160" s="22">
        <v>2499</v>
      </c>
      <c r="E160" s="22">
        <v>2499</v>
      </c>
      <c r="F160" s="22">
        <v>2499</v>
      </c>
      <c r="G160" s="22">
        <v>2499</v>
      </c>
      <c r="H160" s="22">
        <v>2499</v>
      </c>
      <c r="I160" s="22">
        <v>2499</v>
      </c>
      <c r="J160" s="22">
        <v>2499</v>
      </c>
      <c r="K160" s="22">
        <v>2499</v>
      </c>
      <c r="L160" s="22">
        <v>2499</v>
      </c>
      <c r="M160" s="22">
        <v>2499</v>
      </c>
      <c r="N160" s="22">
        <v>2499</v>
      </c>
      <c r="O160" s="22">
        <v>2499</v>
      </c>
      <c r="P160" s="22">
        <v>2499</v>
      </c>
      <c r="Q160" s="22">
        <v>2499</v>
      </c>
      <c r="R160" s="22">
        <f t="shared" si="4"/>
        <v>0</v>
      </c>
      <c r="S160" s="22">
        <f t="shared" si="5"/>
        <v>0</v>
      </c>
      <c r="T160" s="22">
        <v>2499</v>
      </c>
      <c r="U160" s="22">
        <v>2499</v>
      </c>
      <c r="V160" s="22">
        <f t="shared" si="6"/>
        <v>0</v>
      </c>
      <c r="W160" s="22">
        <f t="shared" si="7"/>
        <v>0</v>
      </c>
      <c r="X160" s="25">
        <v>38</v>
      </c>
      <c r="Y160" s="3"/>
    </row>
    <row r="161" spans="1:25" x14ac:dyDescent="0.3">
      <c r="A161" s="21">
        <v>39</v>
      </c>
      <c r="B161" s="21" t="s">
        <v>64</v>
      </c>
      <c r="C161" s="21" t="s">
        <v>63</v>
      </c>
      <c r="D161" s="22">
        <v>699</v>
      </c>
      <c r="E161" s="22">
        <v>699</v>
      </c>
      <c r="F161" s="22">
        <v>699</v>
      </c>
      <c r="G161" s="22">
        <v>699</v>
      </c>
      <c r="H161" s="22">
        <v>699</v>
      </c>
      <c r="I161" s="22">
        <v>699</v>
      </c>
      <c r="J161" s="22">
        <v>699</v>
      </c>
      <c r="K161" s="22">
        <v>699</v>
      </c>
      <c r="L161" s="22">
        <v>699</v>
      </c>
      <c r="M161" s="22">
        <v>699</v>
      </c>
      <c r="N161" s="22">
        <v>699</v>
      </c>
      <c r="O161" s="22">
        <v>699</v>
      </c>
      <c r="P161" s="22">
        <v>699</v>
      </c>
      <c r="Q161" s="22">
        <v>599</v>
      </c>
      <c r="R161" s="22">
        <f t="shared" si="4"/>
        <v>0</v>
      </c>
      <c r="S161" s="22">
        <f t="shared" si="5"/>
        <v>16.690000000000001</v>
      </c>
      <c r="T161" s="22">
        <v>611.98</v>
      </c>
      <c r="U161" s="22">
        <v>599</v>
      </c>
      <c r="V161" s="22">
        <f t="shared" si="6"/>
        <v>12.980000000000018</v>
      </c>
      <c r="W161" s="22">
        <f t="shared" si="7"/>
        <v>2.1669449081802981</v>
      </c>
      <c r="X161" s="25">
        <v>39</v>
      </c>
      <c r="Y161" s="3"/>
    </row>
    <row r="162" spans="1:25" x14ac:dyDescent="0.3">
      <c r="A162" s="21">
        <v>40</v>
      </c>
      <c r="B162" s="21" t="s">
        <v>65</v>
      </c>
      <c r="C162" s="21" t="s">
        <v>63</v>
      </c>
      <c r="D162" s="22">
        <v>1499</v>
      </c>
      <c r="E162" s="22">
        <v>1499</v>
      </c>
      <c r="F162" s="22">
        <v>1499</v>
      </c>
      <c r="G162" s="22">
        <v>1499</v>
      </c>
      <c r="H162" s="22">
        <v>1499</v>
      </c>
      <c r="I162" s="22">
        <v>1499</v>
      </c>
      <c r="J162" s="22">
        <v>1499</v>
      </c>
      <c r="K162" s="22">
        <v>1499</v>
      </c>
      <c r="L162" s="22">
        <v>1499</v>
      </c>
      <c r="M162" s="22">
        <v>1499</v>
      </c>
      <c r="N162" s="22">
        <v>1499</v>
      </c>
      <c r="O162" s="22">
        <v>1499</v>
      </c>
      <c r="P162" s="22">
        <v>1499</v>
      </c>
      <c r="Q162" s="22">
        <v>1399</v>
      </c>
      <c r="R162" s="22">
        <f t="shared" si="4"/>
        <v>0</v>
      </c>
      <c r="S162" s="22">
        <f t="shared" si="5"/>
        <v>7.15</v>
      </c>
      <c r="T162" s="22">
        <v>1412.48</v>
      </c>
      <c r="U162" s="22">
        <v>1185.21</v>
      </c>
      <c r="V162" s="22">
        <f t="shared" si="6"/>
        <v>227.26999999999998</v>
      </c>
      <c r="W162" s="22">
        <f t="shared" si="7"/>
        <v>19.175504762869025</v>
      </c>
      <c r="X162" s="25">
        <v>40</v>
      </c>
      <c r="Y162" s="3"/>
    </row>
    <row r="163" spans="1:25" x14ac:dyDescent="0.3">
      <c r="A163" s="21">
        <v>41</v>
      </c>
      <c r="B163" s="21" t="s">
        <v>68</v>
      </c>
      <c r="C163" s="21" t="s">
        <v>67</v>
      </c>
      <c r="D163" s="22">
        <v>6.95</v>
      </c>
      <c r="E163" s="22">
        <v>6.95</v>
      </c>
      <c r="F163" s="22">
        <v>6.95</v>
      </c>
      <c r="G163" s="22">
        <v>6.95</v>
      </c>
      <c r="H163" s="22">
        <v>6.95</v>
      </c>
      <c r="I163" s="22">
        <v>6.95</v>
      </c>
      <c r="J163" s="22">
        <v>6.95</v>
      </c>
      <c r="K163" s="22">
        <v>6.95</v>
      </c>
      <c r="L163" s="22">
        <v>6.95</v>
      </c>
      <c r="M163" s="22">
        <v>6.95</v>
      </c>
      <c r="N163" s="22">
        <v>6.95</v>
      </c>
      <c r="O163" s="22">
        <v>6.95</v>
      </c>
      <c r="P163" s="22">
        <v>6.95</v>
      </c>
      <c r="Q163" s="22">
        <v>5.66</v>
      </c>
      <c r="R163" s="22">
        <f t="shared" si="4"/>
        <v>0</v>
      </c>
      <c r="S163" s="22">
        <f t="shared" si="5"/>
        <v>22.79</v>
      </c>
      <c r="T163" s="22">
        <v>6.01</v>
      </c>
      <c r="U163" s="22">
        <v>5.99</v>
      </c>
      <c r="V163" s="22">
        <f t="shared" si="6"/>
        <v>1.9999999999999574E-2</v>
      </c>
      <c r="W163" s="22">
        <f t="shared" si="7"/>
        <v>0.33388981636059611</v>
      </c>
      <c r="X163" s="25">
        <v>41</v>
      </c>
      <c r="Y163" s="3"/>
    </row>
    <row r="164" spans="1:25" x14ac:dyDescent="0.3">
      <c r="A164" s="21">
        <v>42</v>
      </c>
      <c r="B164" s="21" t="s">
        <v>404</v>
      </c>
      <c r="C164" s="21" t="s">
        <v>69</v>
      </c>
      <c r="D164" s="22">
        <v>2566.5</v>
      </c>
      <c r="E164" s="22">
        <v>2566.5</v>
      </c>
      <c r="F164" s="22">
        <v>2566.5</v>
      </c>
      <c r="G164" s="22">
        <v>2566.5</v>
      </c>
      <c r="H164" s="22">
        <v>2566.5</v>
      </c>
      <c r="I164" s="22">
        <v>2566.5</v>
      </c>
      <c r="J164" s="22">
        <v>2566.5</v>
      </c>
      <c r="K164" s="22">
        <v>2566.5</v>
      </c>
      <c r="L164" s="22">
        <v>2566.5</v>
      </c>
      <c r="M164" s="22">
        <v>2566.5</v>
      </c>
      <c r="N164" s="22">
        <v>2566.5</v>
      </c>
      <c r="O164" s="22">
        <v>2566.5</v>
      </c>
      <c r="P164" s="22">
        <v>2566.5</v>
      </c>
      <c r="Q164" s="22">
        <v>2566.5</v>
      </c>
      <c r="R164" s="22">
        <f t="shared" si="4"/>
        <v>0</v>
      </c>
      <c r="S164" s="22">
        <f t="shared" si="5"/>
        <v>0</v>
      </c>
      <c r="T164" s="22">
        <v>2535.14</v>
      </c>
      <c r="U164" s="22">
        <v>1976.5</v>
      </c>
      <c r="V164" s="22">
        <f t="shared" si="6"/>
        <v>558.63999999999987</v>
      </c>
      <c r="W164" s="22">
        <f t="shared" si="7"/>
        <v>28.264103212749802</v>
      </c>
      <c r="X164" s="25">
        <v>42</v>
      </c>
      <c r="Y164" s="3"/>
    </row>
    <row r="165" spans="1:25" x14ac:dyDescent="0.3">
      <c r="A165" s="21">
        <v>43</v>
      </c>
      <c r="B165" s="21" t="s">
        <v>70</v>
      </c>
      <c r="C165" s="21" t="s">
        <v>71</v>
      </c>
      <c r="D165" s="22">
        <v>900</v>
      </c>
      <c r="E165" s="22">
        <v>965.49</v>
      </c>
      <c r="F165" s="22">
        <v>1000</v>
      </c>
      <c r="G165" s="22">
        <v>1400</v>
      </c>
      <c r="H165" s="22">
        <v>1449.43</v>
      </c>
      <c r="I165" s="22">
        <v>1500</v>
      </c>
      <c r="J165" s="22">
        <v>1000</v>
      </c>
      <c r="K165" s="22">
        <v>1065.5999999999999</v>
      </c>
      <c r="L165" s="22">
        <v>1100</v>
      </c>
      <c r="M165" s="22">
        <v>900</v>
      </c>
      <c r="N165" s="22">
        <v>1494.16</v>
      </c>
      <c r="O165" s="22">
        <v>2350</v>
      </c>
      <c r="P165" s="22">
        <v>1494.16</v>
      </c>
      <c r="Q165" s="22">
        <v>1324.06</v>
      </c>
      <c r="R165" s="22">
        <f t="shared" si="4"/>
        <v>0</v>
      </c>
      <c r="S165" s="22">
        <f t="shared" si="5"/>
        <v>12.85</v>
      </c>
      <c r="T165" s="22">
        <v>1426.49</v>
      </c>
      <c r="U165" s="22">
        <v>1273.03</v>
      </c>
      <c r="V165" s="22">
        <f t="shared" si="6"/>
        <v>153.46000000000004</v>
      </c>
      <c r="W165" s="22">
        <f t="shared" si="7"/>
        <v>12.054704131088826</v>
      </c>
      <c r="X165" s="25">
        <v>43</v>
      </c>
      <c r="Y165" s="3"/>
    </row>
    <row r="166" spans="1:25" x14ac:dyDescent="0.3">
      <c r="A166" s="21">
        <v>44</v>
      </c>
      <c r="B166" s="21" t="s">
        <v>72</v>
      </c>
      <c r="C166" s="21" t="s">
        <v>23</v>
      </c>
      <c r="D166" s="22">
        <v>300</v>
      </c>
      <c r="E166" s="22">
        <v>300</v>
      </c>
      <c r="F166" s="22">
        <v>300</v>
      </c>
      <c r="G166" s="22">
        <v>350</v>
      </c>
      <c r="H166" s="22">
        <v>350</v>
      </c>
      <c r="I166" s="22">
        <v>350</v>
      </c>
      <c r="J166" s="22">
        <v>580</v>
      </c>
      <c r="K166" s="22">
        <v>580</v>
      </c>
      <c r="L166" s="22">
        <v>580</v>
      </c>
      <c r="M166" s="22">
        <v>240</v>
      </c>
      <c r="N166" s="22">
        <v>402.11</v>
      </c>
      <c r="O166" s="22">
        <v>580</v>
      </c>
      <c r="P166" s="22">
        <v>402.11</v>
      </c>
      <c r="Q166" s="22">
        <v>385.64</v>
      </c>
      <c r="R166" s="22">
        <f t="shared" si="4"/>
        <v>0</v>
      </c>
      <c r="S166" s="22">
        <f t="shared" si="5"/>
        <v>4.2699999999999996</v>
      </c>
      <c r="T166" s="22">
        <v>395.67</v>
      </c>
      <c r="U166" s="22">
        <v>380.66</v>
      </c>
      <c r="V166" s="22">
        <f t="shared" si="6"/>
        <v>15.009999999999991</v>
      </c>
      <c r="W166" s="22">
        <f t="shared" si="7"/>
        <v>3.9431513686754442</v>
      </c>
      <c r="X166" s="25">
        <v>44</v>
      </c>
      <c r="Y166" s="3"/>
    </row>
    <row r="167" spans="1:25" x14ac:dyDescent="0.3">
      <c r="A167" s="21">
        <v>45</v>
      </c>
      <c r="B167" s="21" t="s">
        <v>73</v>
      </c>
      <c r="C167" s="21" t="s">
        <v>23</v>
      </c>
      <c r="D167" s="22">
        <v>130</v>
      </c>
      <c r="E167" s="22">
        <v>130</v>
      </c>
      <c r="F167" s="22">
        <v>130</v>
      </c>
      <c r="G167" s="22">
        <v>150</v>
      </c>
      <c r="H167" s="22">
        <v>150</v>
      </c>
      <c r="I167" s="22">
        <v>150</v>
      </c>
      <c r="J167" s="22">
        <v>137.5</v>
      </c>
      <c r="K167" s="22">
        <v>137.5</v>
      </c>
      <c r="L167" s="22">
        <v>137.5</v>
      </c>
      <c r="M167" s="22">
        <v>130</v>
      </c>
      <c r="N167" s="22">
        <v>141.91</v>
      </c>
      <c r="O167" s="22">
        <v>160</v>
      </c>
      <c r="P167" s="22">
        <v>141.61000000000001</v>
      </c>
      <c r="Q167" s="22">
        <v>132</v>
      </c>
      <c r="R167" s="22">
        <f t="shared" si="4"/>
        <v>0.21</v>
      </c>
      <c r="S167" s="22">
        <f t="shared" si="5"/>
        <v>7.51</v>
      </c>
      <c r="T167" s="22">
        <v>133.97999999999999</v>
      </c>
      <c r="U167" s="22">
        <v>130.71</v>
      </c>
      <c r="V167" s="22">
        <f t="shared" si="6"/>
        <v>3.2699999999999818</v>
      </c>
      <c r="W167" s="22">
        <f t="shared" si="7"/>
        <v>2.5017213679136887</v>
      </c>
      <c r="X167" s="25">
        <v>45</v>
      </c>
      <c r="Y167" s="3"/>
    </row>
    <row r="168" spans="1:25" x14ac:dyDescent="0.3">
      <c r="A168" s="21">
        <v>46</v>
      </c>
      <c r="B168" s="21" t="s">
        <v>74</v>
      </c>
      <c r="C168" s="21" t="s">
        <v>23</v>
      </c>
      <c r="D168" s="22">
        <v>5</v>
      </c>
      <c r="E168" s="22">
        <v>5</v>
      </c>
      <c r="F168" s="22">
        <v>5</v>
      </c>
      <c r="G168" s="22">
        <v>5</v>
      </c>
      <c r="H168" s="22">
        <v>5.97</v>
      </c>
      <c r="I168" s="22">
        <v>7</v>
      </c>
      <c r="J168" s="22">
        <v>5</v>
      </c>
      <c r="K168" s="22">
        <v>5</v>
      </c>
      <c r="L168" s="22">
        <v>5</v>
      </c>
      <c r="M168" s="22">
        <v>5</v>
      </c>
      <c r="N168" s="22">
        <v>6.31</v>
      </c>
      <c r="O168" s="22">
        <v>7</v>
      </c>
      <c r="P168" s="22">
        <v>6.31</v>
      </c>
      <c r="Q168" s="22">
        <v>6.24</v>
      </c>
      <c r="R168" s="22">
        <f t="shared" si="4"/>
        <v>0</v>
      </c>
      <c r="S168" s="22">
        <f t="shared" si="5"/>
        <v>1.1200000000000001</v>
      </c>
      <c r="T168" s="22">
        <v>6.24</v>
      </c>
      <c r="U168" s="22">
        <v>6.22</v>
      </c>
      <c r="V168" s="22">
        <f t="shared" si="6"/>
        <v>2.0000000000000462E-2</v>
      </c>
      <c r="W168" s="22">
        <f t="shared" si="7"/>
        <v>0.32154340836012807</v>
      </c>
      <c r="X168" s="25">
        <v>46</v>
      </c>
      <c r="Y168" s="3"/>
    </row>
    <row r="169" spans="1:25" x14ac:dyDescent="0.3">
      <c r="A169" s="21">
        <v>47</v>
      </c>
      <c r="B169" s="21" t="s">
        <v>75</v>
      </c>
      <c r="C169" s="21" t="s">
        <v>76</v>
      </c>
      <c r="D169" s="22">
        <v>328.6</v>
      </c>
      <c r="E169" s="22">
        <v>328.6</v>
      </c>
      <c r="F169" s="22">
        <v>328.6</v>
      </c>
      <c r="G169" s="22">
        <v>329.05</v>
      </c>
      <c r="H169" s="22">
        <v>329.05</v>
      </c>
      <c r="I169" s="22">
        <v>329.05</v>
      </c>
      <c r="J169" s="22">
        <v>328.37</v>
      </c>
      <c r="K169" s="22">
        <v>328.37</v>
      </c>
      <c r="L169" s="22">
        <v>328.37</v>
      </c>
      <c r="M169" s="22">
        <v>327.12</v>
      </c>
      <c r="N169" s="22">
        <v>328.89</v>
      </c>
      <c r="O169" s="22">
        <v>331.17</v>
      </c>
      <c r="P169" s="22">
        <v>312.52999999999997</v>
      </c>
      <c r="Q169" s="22">
        <v>273.33999999999997</v>
      </c>
      <c r="R169" s="22">
        <f t="shared" si="4"/>
        <v>5.23</v>
      </c>
      <c r="S169" s="22">
        <f t="shared" si="5"/>
        <v>20.32</v>
      </c>
      <c r="T169" s="22">
        <v>294.18</v>
      </c>
      <c r="U169" s="22">
        <v>256.66000000000003</v>
      </c>
      <c r="V169" s="22">
        <f t="shared" si="6"/>
        <v>37.519999999999982</v>
      </c>
      <c r="W169" s="22">
        <f t="shared" si="7"/>
        <v>14.618561521078448</v>
      </c>
      <c r="X169" s="25">
        <v>47</v>
      </c>
      <c r="Y169" s="3"/>
    </row>
    <row r="170" spans="1:25" x14ac:dyDescent="0.3">
      <c r="A170" s="21">
        <v>48</v>
      </c>
      <c r="B170" s="21" t="s">
        <v>77</v>
      </c>
      <c r="C170" s="21" t="s">
        <v>76</v>
      </c>
      <c r="D170" s="22">
        <v>376.5</v>
      </c>
      <c r="E170" s="22">
        <v>376.5</v>
      </c>
      <c r="F170" s="22">
        <v>376.5</v>
      </c>
      <c r="G170" s="22">
        <v>375.36</v>
      </c>
      <c r="H170" s="22">
        <v>375.36</v>
      </c>
      <c r="I170" s="22">
        <v>375.36</v>
      </c>
      <c r="J170" s="22">
        <v>375.7</v>
      </c>
      <c r="K170" s="22">
        <v>375.7</v>
      </c>
      <c r="L170" s="22">
        <v>375.7</v>
      </c>
      <c r="M170" s="22">
        <v>375.04</v>
      </c>
      <c r="N170" s="22">
        <v>376.64</v>
      </c>
      <c r="O170" s="22">
        <v>379</v>
      </c>
      <c r="P170" s="22">
        <v>325.06</v>
      </c>
      <c r="Q170" s="22">
        <v>285.51</v>
      </c>
      <c r="R170" s="22">
        <f t="shared" si="4"/>
        <v>15.87</v>
      </c>
      <c r="S170" s="22">
        <f t="shared" si="5"/>
        <v>31.92</v>
      </c>
      <c r="T170" s="22">
        <v>306.35000000000002</v>
      </c>
      <c r="U170" s="22">
        <v>261.39</v>
      </c>
      <c r="V170" s="22">
        <f t="shared" si="6"/>
        <v>44.960000000000036</v>
      </c>
      <c r="W170" s="22">
        <f t="shared" si="7"/>
        <v>17.200351964497514</v>
      </c>
      <c r="X170" s="25">
        <v>48</v>
      </c>
      <c r="Y170" s="3"/>
    </row>
    <row r="171" spans="1:25" x14ac:dyDescent="0.3">
      <c r="A171" s="21">
        <v>49</v>
      </c>
      <c r="B171" s="21" t="s">
        <v>78</v>
      </c>
      <c r="C171" s="21" t="s">
        <v>23</v>
      </c>
      <c r="D171" s="22">
        <v>4250</v>
      </c>
      <c r="E171" s="22">
        <v>4250</v>
      </c>
      <c r="F171" s="22">
        <v>4250</v>
      </c>
      <c r="G171" s="22">
        <v>4900</v>
      </c>
      <c r="H171" s="22">
        <v>4999.33</v>
      </c>
      <c r="I171" s="22">
        <v>5100</v>
      </c>
      <c r="J171" s="22">
        <v>4084.5</v>
      </c>
      <c r="K171" s="22">
        <v>4160.8599999999997</v>
      </c>
      <c r="L171" s="22">
        <v>4317.8999999999996</v>
      </c>
      <c r="M171" s="22">
        <v>4084.5</v>
      </c>
      <c r="N171" s="22">
        <v>4495.3100000000004</v>
      </c>
      <c r="O171" s="22">
        <v>5200</v>
      </c>
      <c r="P171" s="22">
        <v>4454.62</v>
      </c>
      <c r="Q171" s="22">
        <v>3060.74</v>
      </c>
      <c r="R171" s="22">
        <f t="shared" si="4"/>
        <v>0.91</v>
      </c>
      <c r="S171" s="22">
        <f t="shared" si="5"/>
        <v>46.87</v>
      </c>
      <c r="T171" s="22">
        <v>3683.9</v>
      </c>
      <c r="U171" s="22">
        <v>3235.35</v>
      </c>
      <c r="V171" s="22">
        <f t="shared" si="6"/>
        <v>448.55000000000018</v>
      </c>
      <c r="W171" s="22">
        <f t="shared" si="7"/>
        <v>13.86403325760736</v>
      </c>
      <c r="X171" s="25">
        <v>49</v>
      </c>
      <c r="Y171" s="3"/>
    </row>
    <row r="172" spans="1:25" x14ac:dyDescent="0.3">
      <c r="A172" s="21">
        <v>50</v>
      </c>
      <c r="B172" s="21" t="s">
        <v>79</v>
      </c>
      <c r="C172" s="21" t="s">
        <v>80</v>
      </c>
      <c r="D172" s="22">
        <v>1.79</v>
      </c>
      <c r="E172" s="22">
        <v>1.79</v>
      </c>
      <c r="F172" s="22">
        <v>1.79</v>
      </c>
      <c r="G172" s="22">
        <v>1.79</v>
      </c>
      <c r="H172" s="22">
        <v>1.79</v>
      </c>
      <c r="I172" s="22">
        <v>1.79</v>
      </c>
      <c r="J172" s="22">
        <v>1.79</v>
      </c>
      <c r="K172" s="22">
        <v>1.79</v>
      </c>
      <c r="L172" s="22">
        <v>1.79</v>
      </c>
      <c r="M172" s="22">
        <v>1.79</v>
      </c>
      <c r="N172" s="22">
        <v>1.79</v>
      </c>
      <c r="O172" s="22">
        <v>1.79</v>
      </c>
      <c r="P172" s="22">
        <v>1.79</v>
      </c>
      <c r="Q172" s="22">
        <v>1.79</v>
      </c>
      <c r="R172" s="22">
        <f t="shared" si="4"/>
        <v>0</v>
      </c>
      <c r="S172" s="22">
        <f t="shared" si="5"/>
        <v>0</v>
      </c>
      <c r="T172" s="22">
        <v>1.79</v>
      </c>
      <c r="U172" s="22">
        <v>1.79</v>
      </c>
      <c r="V172" s="22">
        <f t="shared" si="6"/>
        <v>0</v>
      </c>
      <c r="W172" s="22">
        <f t="shared" si="7"/>
        <v>0</v>
      </c>
      <c r="X172" s="25">
        <v>50</v>
      </c>
      <c r="Y172" s="3"/>
    </row>
    <row r="173" spans="1:25" x14ac:dyDescent="0.3">
      <c r="A173" s="21">
        <v>51</v>
      </c>
      <c r="B173" s="21" t="s">
        <v>81</v>
      </c>
      <c r="C173" s="21" t="s">
        <v>23</v>
      </c>
      <c r="D173" s="22">
        <v>116.87</v>
      </c>
      <c r="E173" s="22">
        <v>116.87</v>
      </c>
      <c r="F173" s="22">
        <v>116.87</v>
      </c>
      <c r="G173" s="22">
        <v>116.17</v>
      </c>
      <c r="H173" s="22">
        <v>116.17</v>
      </c>
      <c r="I173" s="22">
        <v>116.17</v>
      </c>
      <c r="J173" s="22">
        <v>110</v>
      </c>
      <c r="K173" s="22">
        <v>110</v>
      </c>
      <c r="L173" s="22">
        <v>110</v>
      </c>
      <c r="M173" s="22">
        <v>110</v>
      </c>
      <c r="N173" s="22">
        <v>116.34</v>
      </c>
      <c r="O173" s="22">
        <v>118.6</v>
      </c>
      <c r="P173" s="22">
        <v>116.34</v>
      </c>
      <c r="Q173" s="22">
        <v>110.48</v>
      </c>
      <c r="R173" s="22">
        <f t="shared" si="4"/>
        <v>0</v>
      </c>
      <c r="S173" s="22">
        <f t="shared" si="5"/>
        <v>5.3</v>
      </c>
      <c r="T173" s="22">
        <v>114.99</v>
      </c>
      <c r="U173" s="22">
        <v>108.15</v>
      </c>
      <c r="V173" s="22">
        <f t="shared" si="6"/>
        <v>6.8399999999999892</v>
      </c>
      <c r="W173" s="22">
        <f t="shared" si="7"/>
        <v>6.3245492371705865</v>
      </c>
      <c r="X173" s="25">
        <v>51</v>
      </c>
      <c r="Y173" s="3"/>
    </row>
    <row r="174" spans="1:2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</sheetData>
  <mergeCells count="30">
    <mergeCell ref="D117:X117"/>
    <mergeCell ref="D118:X118"/>
    <mergeCell ref="D122:X122"/>
    <mergeCell ref="P119:Q119"/>
    <mergeCell ref="R119:S119"/>
    <mergeCell ref="T119:W119"/>
    <mergeCell ref="D119:F119"/>
    <mergeCell ref="G119:I119"/>
    <mergeCell ref="J119:L119"/>
    <mergeCell ref="M119:O119"/>
    <mergeCell ref="D59:X59"/>
    <mergeCell ref="D60:X60"/>
    <mergeCell ref="D64:X64"/>
    <mergeCell ref="D61:F61"/>
    <mergeCell ref="G61:I61"/>
    <mergeCell ref="J61:L61"/>
    <mergeCell ref="M61:O61"/>
    <mergeCell ref="P61:R61"/>
    <mergeCell ref="S61:U61"/>
    <mergeCell ref="V61:X61"/>
    <mergeCell ref="D1:X1"/>
    <mergeCell ref="D2:X2"/>
    <mergeCell ref="D6:X6"/>
    <mergeCell ref="D3:F3"/>
    <mergeCell ref="G3:I3"/>
    <mergeCell ref="J3:L3"/>
    <mergeCell ref="M3:O3"/>
    <mergeCell ref="P3:R3"/>
    <mergeCell ref="S3:U3"/>
    <mergeCell ref="V3:X3"/>
  </mergeCells>
  <printOptions horizontalCentered="1" verticalCentered="1"/>
  <pageMargins left="0.4861111111111111" right="0.4861111111111111" top="0.4861111111111111" bottom="0.4861111111111111" header="0.3" footer="0.3"/>
  <pageSetup scale="63" orientation="landscape" r:id="rId1"/>
  <rowBreaks count="2" manualBreakCount="2">
    <brk id="57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C8B2-9B03-4A8C-8D57-16D8602C7717}">
  <dimension ref="A1:Y179"/>
  <sheetViews>
    <sheetView topLeftCell="B1" workbookViewId="0">
      <selection activeCell="B43" sqref="B43"/>
    </sheetView>
  </sheetViews>
  <sheetFormatPr defaultRowHeight="14.4" x14ac:dyDescent="0.3"/>
  <cols>
    <col min="1" max="1" width="8.6640625" customWidth="1"/>
    <col min="2" max="2" width="35.6640625" customWidth="1"/>
    <col min="3" max="5" width="18.6640625" customWidth="1"/>
  </cols>
  <sheetData>
    <row r="1" spans="1:25" ht="12" customHeight="1" x14ac:dyDescent="0.3">
      <c r="A1" s="26" t="s">
        <v>102</v>
      </c>
      <c r="B1" s="26" t="s">
        <v>103</v>
      </c>
      <c r="C1" s="26" t="s">
        <v>104</v>
      </c>
      <c r="D1" s="26" t="s">
        <v>105</v>
      </c>
      <c r="E1" s="26" t="s">
        <v>106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">
      <c r="A2" s="27">
        <v>1</v>
      </c>
      <c r="B2" s="21" t="s">
        <v>17</v>
      </c>
      <c r="C2" s="22">
        <v>2582.5</v>
      </c>
      <c r="D2" s="22">
        <v>2578.86</v>
      </c>
      <c r="E2" s="22">
        <v>1483.11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3">
      <c r="A3" s="27">
        <v>2</v>
      </c>
      <c r="B3" s="21" t="s">
        <v>19</v>
      </c>
      <c r="C3" s="22">
        <v>217.51</v>
      </c>
      <c r="D3" s="22">
        <v>217.51</v>
      </c>
      <c r="E3" s="22">
        <v>207.53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27">
        <v>3</v>
      </c>
      <c r="B4" s="21" t="s">
        <v>21</v>
      </c>
      <c r="C4" s="22">
        <v>154.57</v>
      </c>
      <c r="D4" s="22">
        <v>155.38</v>
      </c>
      <c r="E4" s="22">
        <v>154.41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27">
        <v>4</v>
      </c>
      <c r="B5" s="21" t="s">
        <v>22</v>
      </c>
      <c r="C5" s="22">
        <v>119.38</v>
      </c>
      <c r="D5" s="22">
        <v>119.38</v>
      </c>
      <c r="E5" s="22">
        <v>108.83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27">
        <v>5</v>
      </c>
      <c r="B6" s="21" t="s">
        <v>24</v>
      </c>
      <c r="C6" s="22">
        <v>1257.5999999999999</v>
      </c>
      <c r="D6" s="22">
        <v>1257.5999999999999</v>
      </c>
      <c r="E6" s="22">
        <v>1112.08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3">
      <c r="A7" s="27">
        <v>6</v>
      </c>
      <c r="B7" s="21" t="s">
        <v>25</v>
      </c>
      <c r="C7" s="22">
        <v>2373.7399999999998</v>
      </c>
      <c r="D7" s="22">
        <v>2373.7399999999998</v>
      </c>
      <c r="E7" s="22">
        <v>2046.01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3">
      <c r="A8" s="27">
        <v>7</v>
      </c>
      <c r="B8" s="21" t="s">
        <v>26</v>
      </c>
      <c r="C8" s="22">
        <v>365.27</v>
      </c>
      <c r="D8" s="22">
        <v>383.11</v>
      </c>
      <c r="E8" s="22">
        <v>423.39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3">
      <c r="A9" s="27">
        <v>8</v>
      </c>
      <c r="B9" s="21" t="s">
        <v>27</v>
      </c>
      <c r="C9" s="22">
        <v>217.48</v>
      </c>
      <c r="D9" s="22">
        <v>217.29</v>
      </c>
      <c r="E9" s="22">
        <v>201.5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3">
      <c r="A10" s="27">
        <v>9</v>
      </c>
      <c r="B10" s="21" t="s">
        <v>29</v>
      </c>
      <c r="C10" s="22">
        <v>253.38</v>
      </c>
      <c r="D10" s="22">
        <v>253.16</v>
      </c>
      <c r="E10" s="22">
        <v>236.45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">
      <c r="A11" s="27">
        <v>10</v>
      </c>
      <c r="B11" s="21" t="s">
        <v>30</v>
      </c>
      <c r="C11" s="22">
        <v>1155.74</v>
      </c>
      <c r="D11" s="22">
        <v>1155.06</v>
      </c>
      <c r="E11" s="22">
        <v>1083.45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27">
        <v>11</v>
      </c>
      <c r="B12" s="21" t="s">
        <v>31</v>
      </c>
      <c r="C12" s="22">
        <v>257.33</v>
      </c>
      <c r="D12" s="22">
        <v>239.8</v>
      </c>
      <c r="E12" s="22">
        <v>284.64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27">
        <v>12</v>
      </c>
      <c r="B13" s="21" t="s">
        <v>33</v>
      </c>
      <c r="C13" s="22">
        <v>551.88</v>
      </c>
      <c r="D13" s="22">
        <v>549.41999999999996</v>
      </c>
      <c r="E13" s="22">
        <v>526.51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27">
        <v>13</v>
      </c>
      <c r="B14" s="21" t="s">
        <v>34</v>
      </c>
      <c r="C14" s="22">
        <v>3068.28</v>
      </c>
      <c r="D14" s="22">
        <v>3066.78</v>
      </c>
      <c r="E14" s="22">
        <v>2872.88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3">
      <c r="A15" s="27">
        <v>14</v>
      </c>
      <c r="B15" s="21" t="s">
        <v>35</v>
      </c>
      <c r="C15" s="22">
        <v>1549.86</v>
      </c>
      <c r="D15" s="22">
        <v>1548.13</v>
      </c>
      <c r="E15" s="22">
        <v>1461.7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">
      <c r="A16" s="27">
        <v>15</v>
      </c>
      <c r="B16" s="21" t="s">
        <v>36</v>
      </c>
      <c r="C16" s="22">
        <v>607.35</v>
      </c>
      <c r="D16" s="22">
        <v>605.66999999999996</v>
      </c>
      <c r="E16" s="22">
        <v>568.47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3">
      <c r="A17" s="27">
        <v>16</v>
      </c>
      <c r="B17" s="21" t="s">
        <v>37</v>
      </c>
      <c r="C17" s="22">
        <v>187.86</v>
      </c>
      <c r="D17" s="22">
        <v>191.15</v>
      </c>
      <c r="E17" s="22">
        <v>167.64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3">
      <c r="A18" s="27">
        <v>17</v>
      </c>
      <c r="B18" s="21" t="s">
        <v>38</v>
      </c>
      <c r="C18" s="22">
        <v>256.32</v>
      </c>
      <c r="D18" s="22">
        <v>257.36</v>
      </c>
      <c r="E18" s="22">
        <v>296.5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">
      <c r="A19" s="27">
        <v>18</v>
      </c>
      <c r="B19" s="21" t="s">
        <v>39</v>
      </c>
      <c r="C19" s="22">
        <v>363.28</v>
      </c>
      <c r="D19" s="22">
        <v>367.24</v>
      </c>
      <c r="E19" s="22">
        <v>397.77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3">
      <c r="A20" s="27">
        <v>19</v>
      </c>
      <c r="B20" s="21" t="s">
        <v>40</v>
      </c>
      <c r="C20" s="22">
        <v>450.33</v>
      </c>
      <c r="D20" s="22">
        <v>455.19</v>
      </c>
      <c r="E20" s="22">
        <v>455.96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">
      <c r="A21" s="27">
        <v>20</v>
      </c>
      <c r="B21" s="21" t="s">
        <v>41</v>
      </c>
      <c r="C21" s="22">
        <v>245.64</v>
      </c>
      <c r="D21" s="22">
        <v>245.71</v>
      </c>
      <c r="E21" s="22">
        <v>312.85000000000002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3">
      <c r="A22" s="27">
        <v>21</v>
      </c>
      <c r="B22" s="21" t="s">
        <v>42</v>
      </c>
      <c r="C22" s="22">
        <v>56.6</v>
      </c>
      <c r="D22" s="22">
        <v>54.58</v>
      </c>
      <c r="E22" s="22">
        <v>84.09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3">
      <c r="A23" s="27">
        <v>22</v>
      </c>
      <c r="B23" s="21" t="s">
        <v>43</v>
      </c>
      <c r="C23" s="22">
        <v>101.67</v>
      </c>
      <c r="D23" s="22">
        <v>101.62</v>
      </c>
      <c r="E23" s="22">
        <v>56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3">
      <c r="A24" s="27">
        <v>23</v>
      </c>
      <c r="B24" s="21" t="s">
        <v>44</v>
      </c>
      <c r="C24" s="22">
        <v>350.46</v>
      </c>
      <c r="D24" s="22">
        <v>250.47</v>
      </c>
      <c r="E24" s="22">
        <v>99.27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3">
      <c r="A25" s="27">
        <v>24</v>
      </c>
      <c r="B25" s="21" t="s">
        <v>45</v>
      </c>
      <c r="C25" s="22">
        <v>148.22999999999999</v>
      </c>
      <c r="D25" s="22">
        <v>148.36000000000001</v>
      </c>
      <c r="E25" s="22">
        <v>180.04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3">
      <c r="A26" s="27">
        <v>25</v>
      </c>
      <c r="B26" s="21" t="s">
        <v>46</v>
      </c>
      <c r="C26" s="22">
        <v>228.19</v>
      </c>
      <c r="D26" s="22">
        <v>228.09</v>
      </c>
      <c r="E26" s="22">
        <v>239.21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">
      <c r="A27" s="27">
        <v>26</v>
      </c>
      <c r="B27" s="21" t="s">
        <v>47</v>
      </c>
      <c r="C27" s="22">
        <v>62.37</v>
      </c>
      <c r="D27" s="22">
        <v>62.37</v>
      </c>
      <c r="E27" s="22">
        <v>72.599999999999994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3">
      <c r="A28" s="27">
        <v>27</v>
      </c>
      <c r="B28" s="21" t="s">
        <v>48</v>
      </c>
      <c r="C28" s="22">
        <v>368.65</v>
      </c>
      <c r="D28" s="22">
        <v>368.65</v>
      </c>
      <c r="E28" s="22">
        <v>320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">
      <c r="A29" s="27">
        <v>28</v>
      </c>
      <c r="B29" s="21" t="s">
        <v>49</v>
      </c>
      <c r="C29" s="22">
        <v>370.35</v>
      </c>
      <c r="D29" s="22">
        <v>368.84</v>
      </c>
      <c r="E29" s="22">
        <v>377.25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3">
      <c r="A30" s="27">
        <v>29</v>
      </c>
      <c r="B30" s="21" t="s">
        <v>50</v>
      </c>
      <c r="C30" s="22">
        <v>456.7</v>
      </c>
      <c r="D30" s="22">
        <v>454.04</v>
      </c>
      <c r="E30" s="22">
        <v>447.07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3">
      <c r="A31" s="27">
        <v>30</v>
      </c>
      <c r="B31" s="21" t="s">
        <v>51</v>
      </c>
      <c r="C31" s="22">
        <v>322.33</v>
      </c>
      <c r="D31" s="22">
        <v>321.18</v>
      </c>
      <c r="E31" s="22">
        <v>307.63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3">
      <c r="A32" s="27">
        <v>31</v>
      </c>
      <c r="B32" s="21" t="s">
        <v>53</v>
      </c>
      <c r="C32" s="22">
        <v>175.48</v>
      </c>
      <c r="D32" s="22">
        <v>174.23</v>
      </c>
      <c r="E32" s="22">
        <v>167.17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3">
      <c r="A33" s="27">
        <v>32</v>
      </c>
      <c r="B33" s="21" t="s">
        <v>54</v>
      </c>
      <c r="C33" s="22">
        <v>65.34</v>
      </c>
      <c r="D33" s="22">
        <v>65.3</v>
      </c>
      <c r="E33" s="22">
        <v>61.38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3">
      <c r="A34" s="27">
        <v>33</v>
      </c>
      <c r="B34" s="21" t="s">
        <v>56</v>
      </c>
      <c r="C34" s="22">
        <v>252.06</v>
      </c>
      <c r="D34" s="22">
        <v>252.06</v>
      </c>
      <c r="E34" s="22">
        <v>242.42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3">
      <c r="A35" s="27">
        <v>34</v>
      </c>
      <c r="B35" s="21" t="s">
        <v>57</v>
      </c>
      <c r="C35" s="22">
        <v>688.69</v>
      </c>
      <c r="D35" s="22">
        <v>688.69</v>
      </c>
      <c r="E35" s="22">
        <v>656.91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">
      <c r="A36" s="27">
        <v>35</v>
      </c>
      <c r="B36" s="21" t="s">
        <v>59</v>
      </c>
      <c r="C36" s="22">
        <v>544.66999999999996</v>
      </c>
      <c r="D36" s="22">
        <v>544.66999999999996</v>
      </c>
      <c r="E36" s="22">
        <v>499.58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">
      <c r="A37" s="27">
        <v>36</v>
      </c>
      <c r="B37" s="21" t="s">
        <v>60</v>
      </c>
      <c r="C37" s="22">
        <v>680.92</v>
      </c>
      <c r="D37" s="22">
        <v>680.92</v>
      </c>
      <c r="E37" s="22">
        <v>656.59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3">
      <c r="A38" s="27">
        <v>37</v>
      </c>
      <c r="B38" s="21" t="s">
        <v>61</v>
      </c>
      <c r="C38" s="22">
        <v>318.06</v>
      </c>
      <c r="D38" s="22">
        <v>318.06</v>
      </c>
      <c r="E38" s="22">
        <v>301.89999999999998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3">
      <c r="A39" s="27">
        <v>38</v>
      </c>
      <c r="B39" s="21" t="s">
        <v>62</v>
      </c>
      <c r="C39" s="22">
        <v>2499</v>
      </c>
      <c r="D39" s="22">
        <v>2499</v>
      </c>
      <c r="E39" s="22">
        <v>2499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3">
      <c r="A40" s="27">
        <v>39</v>
      </c>
      <c r="B40" s="21" t="s">
        <v>64</v>
      </c>
      <c r="C40" s="22">
        <v>699</v>
      </c>
      <c r="D40" s="22">
        <v>699</v>
      </c>
      <c r="E40" s="22">
        <v>599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3">
      <c r="A41" s="27">
        <v>40</v>
      </c>
      <c r="B41" s="21" t="s">
        <v>65</v>
      </c>
      <c r="C41" s="22">
        <v>1499</v>
      </c>
      <c r="D41" s="22">
        <v>1499</v>
      </c>
      <c r="E41" s="22">
        <v>1399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3">
      <c r="A42" s="27">
        <v>41</v>
      </c>
      <c r="B42" s="21" t="s">
        <v>66</v>
      </c>
      <c r="C42" s="22">
        <v>6.95</v>
      </c>
      <c r="D42" s="22">
        <v>6.95</v>
      </c>
      <c r="E42" s="22">
        <v>5.66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3">
      <c r="A43" s="27">
        <v>42</v>
      </c>
      <c r="B43" s="21" t="s">
        <v>404</v>
      </c>
      <c r="C43" s="22">
        <v>2566.5</v>
      </c>
      <c r="D43" s="22">
        <v>2566.5</v>
      </c>
      <c r="E43" s="22">
        <v>2566.5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">
      <c r="A44" s="27">
        <v>43</v>
      </c>
      <c r="B44" s="21" t="s">
        <v>70</v>
      </c>
      <c r="C44" s="22">
        <v>1494.16</v>
      </c>
      <c r="D44" s="22">
        <v>1494.16</v>
      </c>
      <c r="E44" s="22">
        <v>1324.06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3">
      <c r="A45" s="27">
        <v>44</v>
      </c>
      <c r="B45" s="21" t="s">
        <v>72</v>
      </c>
      <c r="C45" s="22">
        <v>402.11</v>
      </c>
      <c r="D45" s="22">
        <v>402.11</v>
      </c>
      <c r="E45" s="22">
        <v>385.64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">
      <c r="A46" s="27">
        <v>45</v>
      </c>
      <c r="B46" s="21" t="s">
        <v>73</v>
      </c>
      <c r="C46" s="22">
        <v>141.91</v>
      </c>
      <c r="D46" s="22">
        <v>141.61000000000001</v>
      </c>
      <c r="E46" s="22">
        <v>132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3">
      <c r="A47" s="27">
        <v>46</v>
      </c>
      <c r="B47" s="21" t="s">
        <v>74</v>
      </c>
      <c r="C47" s="22">
        <v>6.31</v>
      </c>
      <c r="D47" s="22">
        <v>6.31</v>
      </c>
      <c r="E47" s="22">
        <v>6.24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3">
      <c r="A48" s="27">
        <v>47</v>
      </c>
      <c r="B48" s="21" t="s">
        <v>75</v>
      </c>
      <c r="C48" s="22">
        <v>328.89</v>
      </c>
      <c r="D48" s="22">
        <v>312.52999999999997</v>
      </c>
      <c r="E48" s="22">
        <v>273.33999999999997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3">
      <c r="A49" s="27">
        <v>48</v>
      </c>
      <c r="B49" s="21" t="s">
        <v>77</v>
      </c>
      <c r="C49" s="22">
        <v>376.64</v>
      </c>
      <c r="D49" s="22">
        <v>325.06</v>
      </c>
      <c r="E49" s="22">
        <v>285.51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3">
      <c r="A50" s="27">
        <v>49</v>
      </c>
      <c r="B50" s="21" t="s">
        <v>78</v>
      </c>
      <c r="C50" s="22">
        <v>4495.3100000000004</v>
      </c>
      <c r="D50" s="22">
        <v>4454.62</v>
      </c>
      <c r="E50" s="22">
        <v>3060.74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27">
        <v>50</v>
      </c>
      <c r="B51" s="21" t="s">
        <v>79</v>
      </c>
      <c r="C51" s="22">
        <v>1.79</v>
      </c>
      <c r="D51" s="22">
        <v>1.79</v>
      </c>
      <c r="E51" s="22">
        <v>1.79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27">
        <v>51</v>
      </c>
      <c r="B52" s="21" t="s">
        <v>81</v>
      </c>
      <c r="C52" s="22">
        <v>116.34</v>
      </c>
      <c r="D52" s="22">
        <v>116.34</v>
      </c>
      <c r="E52" s="22">
        <v>110.48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</sheetData>
  <printOptions horizontalCentered="1"/>
  <pageMargins left="0.4861111111111111" right="0.4861111111111111" top="0.4861111111111111" bottom="0.4861111111111111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E040-A573-41F9-9CAC-CBF3DE6BCD3E}">
  <dimension ref="A1:Y182"/>
  <sheetViews>
    <sheetView view="pageBreakPreview" zoomScale="78" zoomScaleNormal="100" zoomScaleSheetLayoutView="50" workbookViewId="0">
      <selection activeCell="M9" sqref="M9"/>
    </sheetView>
  </sheetViews>
  <sheetFormatPr defaultRowHeight="14.4" x14ac:dyDescent="0.3"/>
  <cols>
    <col min="1" max="1" width="4.109375" customWidth="1"/>
    <col min="2" max="2" width="12.6640625" customWidth="1"/>
    <col min="3" max="3" width="7.109375" customWidth="1"/>
    <col min="4" max="24" width="9.109375" customWidth="1"/>
  </cols>
  <sheetData>
    <row r="1" spans="1:25" ht="12" customHeight="1" x14ac:dyDescent="0.3">
      <c r="A1" s="63" t="s">
        <v>107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ht="15.6" x14ac:dyDescent="0.3">
      <c r="A2" s="28" t="s">
        <v>132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7.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25.5" customHeight="1" x14ac:dyDescent="0.3">
      <c r="A4" s="32" t="s">
        <v>133</v>
      </c>
      <c r="B4" s="62" t="s">
        <v>134</v>
      </c>
      <c r="C4" s="62"/>
      <c r="D4" s="62"/>
      <c r="E4" s="62"/>
      <c r="F4" s="62"/>
      <c r="G4" s="62"/>
      <c r="H4" s="32" t="s">
        <v>119</v>
      </c>
      <c r="I4" s="32" t="s">
        <v>120</v>
      </c>
      <c r="J4" s="32" t="s">
        <v>121</v>
      </c>
      <c r="K4" s="32" t="s">
        <v>122</v>
      </c>
      <c r="L4" s="32" t="s">
        <v>123</v>
      </c>
      <c r="M4" s="32" t="s">
        <v>124</v>
      </c>
      <c r="N4" s="32" t="s">
        <v>125</v>
      </c>
      <c r="O4" s="32" t="s">
        <v>126</v>
      </c>
      <c r="P4" s="32" t="s">
        <v>127</v>
      </c>
      <c r="Q4" s="32" t="s">
        <v>128</v>
      </c>
      <c r="R4" s="32" t="s">
        <v>129</v>
      </c>
      <c r="S4" s="32" t="s">
        <v>130</v>
      </c>
      <c r="T4" s="32" t="s">
        <v>131</v>
      </c>
      <c r="U4" s="62" t="s">
        <v>135</v>
      </c>
      <c r="V4" s="62"/>
      <c r="W4" s="62"/>
      <c r="X4" s="62" t="s">
        <v>136</v>
      </c>
      <c r="Y4" s="62"/>
    </row>
    <row r="5" spans="1:25" ht="25.5" customHeight="1" x14ac:dyDescent="0.3">
      <c r="A5" s="33">
        <v>1</v>
      </c>
      <c r="B5" s="65" t="s">
        <v>137</v>
      </c>
      <c r="C5" s="66"/>
      <c r="D5" s="66"/>
      <c r="E5" s="66"/>
      <c r="F5" s="66"/>
      <c r="G5" s="66"/>
      <c r="H5" s="34">
        <v>5200</v>
      </c>
      <c r="I5" s="34">
        <v>4600</v>
      </c>
      <c r="J5" s="34">
        <v>4525</v>
      </c>
      <c r="K5" s="34">
        <v>4600</v>
      </c>
      <c r="L5" s="34">
        <v>4633.2700000000004</v>
      </c>
      <c r="M5" s="34">
        <v>4449.72</v>
      </c>
      <c r="N5" s="34">
        <v>4500</v>
      </c>
      <c r="O5" s="34">
        <v>4649.7299999999996</v>
      </c>
      <c r="P5" s="34">
        <v>4600</v>
      </c>
      <c r="Q5" s="34">
        <v>4466.42</v>
      </c>
      <c r="R5" s="34">
        <v>4600</v>
      </c>
      <c r="S5" s="34">
        <v>4650</v>
      </c>
      <c r="T5" s="34">
        <v>5099.3500000000004</v>
      </c>
      <c r="U5" s="34">
        <f t="shared" ref="U5:U12" si="0">GEOMEAN(H5:T5)</f>
        <v>4654.5755820660797</v>
      </c>
      <c r="V5" s="34">
        <f t="shared" ref="V5:V12" si="1">GEOMEAN(H39:T39)</f>
        <v>4637.0634710263103</v>
      </c>
      <c r="W5" s="34">
        <f t="shared" ref="W5:W12" si="2">GEOMEAN(H47:T47)</f>
        <v>4414.5713742206553</v>
      </c>
      <c r="X5" s="35">
        <f t="shared" ref="X5:X12" si="3">U5/V5*100-100</f>
        <v>0.37765519383528101</v>
      </c>
      <c r="Y5" s="35">
        <f t="shared" ref="Y5:Y12" si="4">U5/W5*100-100</f>
        <v>5.436636708309976</v>
      </c>
    </row>
    <row r="6" spans="1:25" ht="25.5" customHeight="1" x14ac:dyDescent="0.3">
      <c r="A6" s="33">
        <v>2</v>
      </c>
      <c r="B6" s="65" t="s">
        <v>138</v>
      </c>
      <c r="C6" s="66"/>
      <c r="D6" s="66"/>
      <c r="E6" s="66"/>
      <c r="F6" s="66"/>
      <c r="G6" s="66"/>
      <c r="H6" s="34">
        <v>5050</v>
      </c>
      <c r="I6" s="34">
        <v>4550</v>
      </c>
      <c r="J6" s="34">
        <v>4450</v>
      </c>
      <c r="K6" s="34">
        <v>4550</v>
      </c>
      <c r="L6" s="34">
        <v>4533.2700000000004</v>
      </c>
      <c r="M6" s="34">
        <v>4349.71</v>
      </c>
      <c r="N6" s="34">
        <v>4483.2700000000004</v>
      </c>
      <c r="O6" s="34" t="s">
        <v>139</v>
      </c>
      <c r="P6" s="34">
        <v>4600</v>
      </c>
      <c r="Q6" s="34" t="s">
        <v>139</v>
      </c>
      <c r="R6" s="34">
        <v>4450</v>
      </c>
      <c r="S6" s="34">
        <v>4300</v>
      </c>
      <c r="T6" s="34" t="s">
        <v>139</v>
      </c>
      <c r="U6" s="34">
        <f t="shared" si="0"/>
        <v>4527.648740097361</v>
      </c>
      <c r="V6" s="34">
        <f t="shared" si="1"/>
        <v>4513.9706961492902</v>
      </c>
      <c r="W6" s="34">
        <f t="shared" si="2"/>
        <v>4278.745788305032</v>
      </c>
      <c r="X6" s="35">
        <f t="shared" si="3"/>
        <v>0.30301578961820042</v>
      </c>
      <c r="Y6" s="35">
        <f t="shared" si="4"/>
        <v>5.8171941991190153</v>
      </c>
    </row>
    <row r="7" spans="1:25" ht="25.5" customHeight="1" x14ac:dyDescent="0.3">
      <c r="A7" s="33">
        <v>3</v>
      </c>
      <c r="B7" s="65" t="s">
        <v>140</v>
      </c>
      <c r="C7" s="66"/>
      <c r="D7" s="66"/>
      <c r="E7" s="66"/>
      <c r="F7" s="66"/>
      <c r="G7" s="66"/>
      <c r="H7" s="34">
        <v>5100</v>
      </c>
      <c r="I7" s="34">
        <v>4300</v>
      </c>
      <c r="J7" s="34">
        <v>4400</v>
      </c>
      <c r="K7" s="34" t="s">
        <v>139</v>
      </c>
      <c r="L7" s="34">
        <v>4233.2700000000004</v>
      </c>
      <c r="M7" s="34">
        <v>4149.7</v>
      </c>
      <c r="N7" s="34">
        <v>3766.37</v>
      </c>
      <c r="O7" s="34">
        <v>4300</v>
      </c>
      <c r="P7" s="34">
        <v>4250</v>
      </c>
      <c r="Q7" s="34" t="s">
        <v>139</v>
      </c>
      <c r="R7" s="34" t="s">
        <v>139</v>
      </c>
      <c r="S7" s="34" t="s">
        <v>139</v>
      </c>
      <c r="T7" s="34" t="s">
        <v>139</v>
      </c>
      <c r="U7" s="34">
        <f t="shared" si="0"/>
        <v>4299.0306671821072</v>
      </c>
      <c r="V7" s="34">
        <f t="shared" si="1"/>
        <v>4275.6575847419081</v>
      </c>
      <c r="W7" s="34">
        <f t="shared" si="2"/>
        <v>4061.6366386274349</v>
      </c>
      <c r="X7" s="35">
        <f t="shared" si="3"/>
        <v>0.54665468356512292</v>
      </c>
      <c r="Y7" s="35">
        <f t="shared" si="4"/>
        <v>5.8447874508758701</v>
      </c>
    </row>
    <row r="8" spans="1:25" ht="25.5" customHeight="1" x14ac:dyDescent="0.3">
      <c r="A8" s="33">
        <v>4</v>
      </c>
      <c r="B8" s="65" t="s">
        <v>141</v>
      </c>
      <c r="C8" s="66"/>
      <c r="D8" s="66"/>
      <c r="E8" s="66"/>
      <c r="F8" s="66"/>
      <c r="G8" s="66"/>
      <c r="H8" s="34" t="s">
        <v>139</v>
      </c>
      <c r="I8" s="34">
        <v>4800</v>
      </c>
      <c r="J8" s="34">
        <v>4700</v>
      </c>
      <c r="K8" s="34">
        <v>4800</v>
      </c>
      <c r="L8" s="34">
        <v>4733.2700000000004</v>
      </c>
      <c r="M8" s="34" t="s">
        <v>139</v>
      </c>
      <c r="N8" s="34" t="s">
        <v>139</v>
      </c>
      <c r="O8" s="34">
        <v>2949.58</v>
      </c>
      <c r="P8" s="34" t="s">
        <v>139</v>
      </c>
      <c r="Q8" s="34">
        <v>4130.5</v>
      </c>
      <c r="R8" s="34">
        <v>4800</v>
      </c>
      <c r="S8" s="34" t="s">
        <v>139</v>
      </c>
      <c r="T8" s="34" t="s">
        <v>139</v>
      </c>
      <c r="U8" s="34">
        <f t="shared" si="0"/>
        <v>4360.4879791059966</v>
      </c>
      <c r="V8" s="34">
        <f t="shared" si="1"/>
        <v>4365.1826313851725</v>
      </c>
      <c r="W8" s="34">
        <f t="shared" si="2"/>
        <v>3121.865506867754</v>
      </c>
      <c r="X8" s="35">
        <f t="shared" si="3"/>
        <v>-0.10754767155495415</v>
      </c>
      <c r="Y8" s="35">
        <f t="shared" si="4"/>
        <v>39.675715353957827</v>
      </c>
    </row>
    <row r="9" spans="1:25" ht="25.5" customHeight="1" x14ac:dyDescent="0.3">
      <c r="A9" s="33">
        <v>5</v>
      </c>
      <c r="B9" s="65" t="s">
        <v>142</v>
      </c>
      <c r="C9" s="66"/>
      <c r="D9" s="66"/>
      <c r="E9" s="66"/>
      <c r="F9" s="66"/>
      <c r="G9" s="66"/>
      <c r="H9" s="34" t="s">
        <v>139</v>
      </c>
      <c r="I9" s="34">
        <v>14000</v>
      </c>
      <c r="J9" s="34">
        <v>15300</v>
      </c>
      <c r="K9" s="34">
        <v>15000</v>
      </c>
      <c r="L9" s="34">
        <v>15800</v>
      </c>
      <c r="M9" s="34">
        <v>14849.92</v>
      </c>
      <c r="N9" s="34">
        <v>13331.23</v>
      </c>
      <c r="O9" s="34" t="s">
        <v>139</v>
      </c>
      <c r="P9" s="34" t="s">
        <v>139</v>
      </c>
      <c r="Q9" s="34">
        <v>16100</v>
      </c>
      <c r="R9" s="34">
        <v>15000</v>
      </c>
      <c r="S9" s="34" t="s">
        <v>139</v>
      </c>
      <c r="T9" s="34" t="s">
        <v>139</v>
      </c>
      <c r="U9" s="34">
        <f t="shared" si="0"/>
        <v>14898.238085424216</v>
      </c>
      <c r="V9" s="34">
        <f t="shared" si="1"/>
        <v>14772.29484364955</v>
      </c>
      <c r="W9" s="34">
        <f t="shared" si="2"/>
        <v>12341.432790958692</v>
      </c>
      <c r="X9" s="35">
        <f t="shared" si="3"/>
        <v>0.8525638237501596</v>
      </c>
      <c r="Y9" s="35">
        <f t="shared" si="4"/>
        <v>20.717248457072458</v>
      </c>
    </row>
    <row r="10" spans="1:25" ht="25.5" customHeight="1" x14ac:dyDescent="0.3">
      <c r="A10" s="33">
        <v>6</v>
      </c>
      <c r="B10" s="65" t="s">
        <v>143</v>
      </c>
      <c r="C10" s="66"/>
      <c r="D10" s="66"/>
      <c r="E10" s="66"/>
      <c r="F10" s="66"/>
      <c r="G10" s="66"/>
      <c r="H10" s="34" t="s">
        <v>139</v>
      </c>
      <c r="I10" s="34">
        <v>10200</v>
      </c>
      <c r="J10" s="34">
        <v>10700</v>
      </c>
      <c r="K10" s="34">
        <v>10300</v>
      </c>
      <c r="L10" s="34">
        <v>10500</v>
      </c>
      <c r="M10" s="34">
        <v>9749.8700000000008</v>
      </c>
      <c r="N10" s="34">
        <v>9863.14</v>
      </c>
      <c r="O10" s="34">
        <v>10049.879999999999</v>
      </c>
      <c r="P10" s="34">
        <v>10200</v>
      </c>
      <c r="Q10" s="34">
        <v>9463.58</v>
      </c>
      <c r="R10" s="34">
        <v>10200</v>
      </c>
      <c r="S10" s="34" t="s">
        <v>139</v>
      </c>
      <c r="T10" s="34" t="s">
        <v>139</v>
      </c>
      <c r="U10" s="34">
        <f t="shared" si="0"/>
        <v>10116.822196856852</v>
      </c>
      <c r="V10" s="34">
        <f t="shared" si="1"/>
        <v>10047.166988558363</v>
      </c>
      <c r="W10" s="34">
        <f t="shared" si="2"/>
        <v>8168.7911826971031</v>
      </c>
      <c r="X10" s="35">
        <f t="shared" si="3"/>
        <v>0.69328208019048532</v>
      </c>
      <c r="Y10" s="35">
        <f t="shared" si="4"/>
        <v>23.84723725446689</v>
      </c>
    </row>
    <row r="11" spans="1:25" ht="25.5" customHeight="1" x14ac:dyDescent="0.3">
      <c r="A11" s="33">
        <v>7</v>
      </c>
      <c r="B11" s="65" t="s">
        <v>144</v>
      </c>
      <c r="C11" s="66"/>
      <c r="D11" s="66"/>
      <c r="E11" s="66"/>
      <c r="F11" s="66"/>
      <c r="G11" s="66"/>
      <c r="H11" s="34">
        <v>16000</v>
      </c>
      <c r="I11" s="34">
        <v>16300</v>
      </c>
      <c r="J11" s="34">
        <v>16200</v>
      </c>
      <c r="K11" s="34">
        <v>16000</v>
      </c>
      <c r="L11" s="34">
        <v>16500</v>
      </c>
      <c r="M11" s="34">
        <v>15849.92</v>
      </c>
      <c r="N11" s="34">
        <v>16500</v>
      </c>
      <c r="O11" s="34">
        <v>16000</v>
      </c>
      <c r="P11" s="34">
        <v>16200</v>
      </c>
      <c r="Q11" s="34">
        <v>15671.36</v>
      </c>
      <c r="R11" s="34">
        <v>16200</v>
      </c>
      <c r="S11" s="34">
        <v>16500</v>
      </c>
      <c r="T11" s="34">
        <v>15899.79</v>
      </c>
      <c r="U11" s="34">
        <f t="shared" si="0"/>
        <v>16138.066698063412</v>
      </c>
      <c r="V11" s="34">
        <f t="shared" si="1"/>
        <v>16029.199294836431</v>
      </c>
      <c r="W11" s="34">
        <f t="shared" si="2"/>
        <v>13109.980615005778</v>
      </c>
      <c r="X11" s="35">
        <f t="shared" si="3"/>
        <v>0.67918179332919237</v>
      </c>
      <c r="Y11" s="35">
        <f t="shared" si="4"/>
        <v>23.097563390686233</v>
      </c>
    </row>
    <row r="12" spans="1:25" ht="25.5" customHeight="1" x14ac:dyDescent="0.3">
      <c r="A12" s="33">
        <v>8</v>
      </c>
      <c r="B12" s="65" t="s">
        <v>145</v>
      </c>
      <c r="C12" s="66"/>
      <c r="D12" s="66"/>
      <c r="E12" s="66"/>
      <c r="F12" s="66"/>
      <c r="G12" s="66"/>
      <c r="H12" s="34">
        <v>9900</v>
      </c>
      <c r="I12" s="34" t="s">
        <v>139</v>
      </c>
      <c r="J12" s="34">
        <v>11600</v>
      </c>
      <c r="K12" s="34">
        <v>9600</v>
      </c>
      <c r="L12" s="34">
        <v>10783.31</v>
      </c>
      <c r="M12" s="34">
        <v>9849.8700000000008</v>
      </c>
      <c r="N12" s="34">
        <v>11200</v>
      </c>
      <c r="O12" s="34" t="s">
        <v>139</v>
      </c>
      <c r="P12" s="34" t="s">
        <v>139</v>
      </c>
      <c r="Q12" s="34" t="s">
        <v>139</v>
      </c>
      <c r="R12" s="34">
        <v>11000</v>
      </c>
      <c r="S12" s="34">
        <v>10300</v>
      </c>
      <c r="T12" s="34">
        <v>10399.68</v>
      </c>
      <c r="U12" s="34">
        <f t="shared" si="0"/>
        <v>10495.464335451625</v>
      </c>
      <c r="V12" s="34">
        <f t="shared" si="1"/>
        <v>10441.354392892152</v>
      </c>
      <c r="W12" s="34">
        <f t="shared" si="2"/>
        <v>9042.8404809901494</v>
      </c>
      <c r="X12" s="35">
        <f t="shared" si="3"/>
        <v>0.518227238760403</v>
      </c>
      <c r="Y12" s="35">
        <f t="shared" si="4"/>
        <v>16.06380050068536</v>
      </c>
    </row>
    <row r="13" spans="1:25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1:25" ht="15.6" x14ac:dyDescent="0.3">
      <c r="A14" s="28" t="s">
        <v>150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7.5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25.5" customHeight="1" x14ac:dyDescent="0.3">
      <c r="A16" s="32" t="s">
        <v>133</v>
      </c>
      <c r="B16" s="62" t="s">
        <v>134</v>
      </c>
      <c r="C16" s="62"/>
      <c r="D16" s="32" t="s">
        <v>146</v>
      </c>
      <c r="E16" s="32" t="s">
        <v>119</v>
      </c>
      <c r="F16" s="32" t="s">
        <v>120</v>
      </c>
      <c r="G16" s="32" t="s">
        <v>147</v>
      </c>
      <c r="H16" s="32" t="s">
        <v>121</v>
      </c>
      <c r="I16" s="32" t="s">
        <v>122</v>
      </c>
      <c r="J16" s="32" t="s">
        <v>123</v>
      </c>
      <c r="K16" s="32" t="s">
        <v>124</v>
      </c>
      <c r="L16" s="32" t="s">
        <v>125</v>
      </c>
      <c r="M16" s="32" t="s">
        <v>148</v>
      </c>
      <c r="N16" s="32" t="s">
        <v>126</v>
      </c>
      <c r="O16" s="32" t="s">
        <v>127</v>
      </c>
      <c r="P16" s="32" t="s">
        <v>128</v>
      </c>
      <c r="Q16" s="32" t="s">
        <v>129</v>
      </c>
      <c r="R16" s="32" t="s">
        <v>130</v>
      </c>
      <c r="S16" s="32" t="s">
        <v>131</v>
      </c>
      <c r="T16" s="32" t="s">
        <v>149</v>
      </c>
      <c r="U16" s="62" t="s">
        <v>135</v>
      </c>
      <c r="V16" s="62"/>
      <c r="W16" s="62"/>
      <c r="X16" s="62" t="s">
        <v>136</v>
      </c>
      <c r="Y16" s="62"/>
    </row>
    <row r="17" spans="1:25" ht="25.5" customHeight="1" x14ac:dyDescent="0.3">
      <c r="A17" s="33">
        <v>1</v>
      </c>
      <c r="B17" s="65" t="s">
        <v>108</v>
      </c>
      <c r="C17" s="66"/>
      <c r="D17" s="34">
        <v>1490.76</v>
      </c>
      <c r="E17" s="34">
        <v>1486.63</v>
      </c>
      <c r="F17" s="34">
        <v>1550</v>
      </c>
      <c r="G17" s="34">
        <v>1550</v>
      </c>
      <c r="H17" s="34">
        <v>1559.96</v>
      </c>
      <c r="I17" s="34">
        <v>1500</v>
      </c>
      <c r="J17" s="34">
        <v>1583.33</v>
      </c>
      <c r="K17" s="34">
        <v>1569.98</v>
      </c>
      <c r="L17" s="34">
        <v>1546.66</v>
      </c>
      <c r="M17" s="34">
        <v>1468.97</v>
      </c>
      <c r="N17" s="34">
        <v>1514.98</v>
      </c>
      <c r="O17" s="34">
        <v>1600</v>
      </c>
      <c r="P17" s="34">
        <v>1523.33</v>
      </c>
      <c r="Q17" s="34">
        <v>1537.67</v>
      </c>
      <c r="R17" s="34">
        <v>1470</v>
      </c>
      <c r="S17" s="34">
        <v>1519.98</v>
      </c>
      <c r="T17" s="34">
        <v>1650</v>
      </c>
      <c r="U17" s="34">
        <f>GEOMEAN(D17:T17)</f>
        <v>1535.901095695775</v>
      </c>
      <c r="V17" s="34">
        <v>1521.5</v>
      </c>
      <c r="W17" s="34">
        <v>1406.38</v>
      </c>
      <c r="X17" s="35">
        <f>U17/V17*100-100</f>
        <v>0.94650645387939392</v>
      </c>
      <c r="Y17" s="35">
        <f>U17/W17*100-100</f>
        <v>9.2095376566628318</v>
      </c>
    </row>
    <row r="18" spans="1:25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spans="1:25" ht="15.6" x14ac:dyDescent="0.3">
      <c r="A19" s="28" t="s">
        <v>154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7.5" customHeight="1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25.5" customHeight="1" x14ac:dyDescent="0.3">
      <c r="A21" s="32" t="s">
        <v>133</v>
      </c>
      <c r="B21" s="62" t="s">
        <v>134</v>
      </c>
      <c r="C21" s="62"/>
      <c r="D21" s="32" t="s">
        <v>146</v>
      </c>
      <c r="E21" s="32" t="s">
        <v>119</v>
      </c>
      <c r="F21" s="32" t="s">
        <v>120</v>
      </c>
      <c r="G21" s="32" t="s">
        <v>147</v>
      </c>
      <c r="H21" s="32" t="s">
        <v>121</v>
      </c>
      <c r="I21" s="32" t="s">
        <v>122</v>
      </c>
      <c r="J21" s="32" t="s">
        <v>123</v>
      </c>
      <c r="K21" s="32" t="s">
        <v>124</v>
      </c>
      <c r="L21" s="32" t="s">
        <v>125</v>
      </c>
      <c r="M21" s="32" t="s">
        <v>151</v>
      </c>
      <c r="N21" s="32" t="s">
        <v>152</v>
      </c>
      <c r="O21" s="32" t="s">
        <v>148</v>
      </c>
      <c r="P21" s="32" t="s">
        <v>126</v>
      </c>
      <c r="Q21" s="32" t="s">
        <v>127</v>
      </c>
      <c r="R21" s="32" t="s">
        <v>128</v>
      </c>
      <c r="S21" s="32" t="s">
        <v>129</v>
      </c>
      <c r="T21" s="32" t="s">
        <v>130</v>
      </c>
      <c r="U21" s="32" t="s">
        <v>131</v>
      </c>
      <c r="V21" s="32" t="s">
        <v>149</v>
      </c>
      <c r="W21" s="32" t="s">
        <v>153</v>
      </c>
      <c r="X21" s="62" t="s">
        <v>152</v>
      </c>
      <c r="Y21" s="62"/>
    </row>
    <row r="22" spans="1:25" ht="25.5" customHeight="1" x14ac:dyDescent="0.3">
      <c r="A22" s="33">
        <v>1</v>
      </c>
      <c r="B22" s="65" t="s">
        <v>109</v>
      </c>
      <c r="C22" s="66"/>
      <c r="D22" s="35">
        <v>375</v>
      </c>
      <c r="E22" s="35">
        <v>287.35000000000002</v>
      </c>
      <c r="F22" s="35">
        <v>142.99</v>
      </c>
      <c r="G22" s="35">
        <v>146.9</v>
      </c>
      <c r="H22" s="35">
        <v>138</v>
      </c>
      <c r="I22" s="35">
        <v>141.99</v>
      </c>
      <c r="J22" s="35">
        <v>145.99</v>
      </c>
      <c r="K22" s="35">
        <v>139.9</v>
      </c>
      <c r="L22" s="35">
        <v>138.6</v>
      </c>
      <c r="M22" s="35">
        <f>GEOMEAN(D22:L22)</f>
        <v>171.08077278917085</v>
      </c>
      <c r="N22" s="35">
        <f>M22/M38*100-100</f>
        <v>0</v>
      </c>
      <c r="O22" s="35">
        <v>318.26</v>
      </c>
      <c r="P22" s="35">
        <v>300</v>
      </c>
      <c r="Q22" s="35">
        <v>300</v>
      </c>
      <c r="R22" s="35">
        <v>295</v>
      </c>
      <c r="S22" s="35">
        <v>349.9</v>
      </c>
      <c r="T22" s="35">
        <v>352</v>
      </c>
      <c r="U22" s="35">
        <v>315</v>
      </c>
      <c r="V22" s="35" t="s">
        <v>139</v>
      </c>
      <c r="W22" s="35">
        <f>GEOMEAN(O22:V22)</f>
        <v>317.85922525583311</v>
      </c>
      <c r="X22" s="67">
        <f>W22/W38*100-100</f>
        <v>0</v>
      </c>
      <c r="Y22" s="67"/>
    </row>
    <row r="23" spans="1:25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spans="1:25" ht="15.6" x14ac:dyDescent="0.3">
      <c r="A24" s="28" t="s">
        <v>155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7.5" customHeight="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5.5" customHeight="1" x14ac:dyDescent="0.3">
      <c r="A26" s="32" t="s">
        <v>133</v>
      </c>
      <c r="B26" s="32" t="s">
        <v>134</v>
      </c>
      <c r="C26" s="32" t="s">
        <v>110</v>
      </c>
      <c r="D26" s="32" t="s">
        <v>146</v>
      </c>
      <c r="E26" s="32" t="s">
        <v>119</v>
      </c>
      <c r="F26" s="32" t="s">
        <v>120</v>
      </c>
      <c r="G26" s="32" t="s">
        <v>147</v>
      </c>
      <c r="H26" s="32" t="s">
        <v>121</v>
      </c>
      <c r="I26" s="32" t="s">
        <v>122</v>
      </c>
      <c r="J26" s="32" t="s">
        <v>123</v>
      </c>
      <c r="K26" s="32" t="s">
        <v>124</v>
      </c>
      <c r="L26" s="32" t="s">
        <v>125</v>
      </c>
      <c r="M26" s="32" t="s">
        <v>148</v>
      </c>
      <c r="N26" s="32" t="s">
        <v>126</v>
      </c>
      <c r="O26" s="32" t="s">
        <v>127</v>
      </c>
      <c r="P26" s="32" t="s">
        <v>128</v>
      </c>
      <c r="Q26" s="32" t="s">
        <v>129</v>
      </c>
      <c r="R26" s="32" t="s">
        <v>130</v>
      </c>
      <c r="S26" s="32" t="s">
        <v>131</v>
      </c>
      <c r="T26" s="32" t="s">
        <v>149</v>
      </c>
      <c r="U26" s="62" t="s">
        <v>135</v>
      </c>
      <c r="V26" s="62"/>
      <c r="W26" s="62"/>
      <c r="X26" s="62" t="s">
        <v>136</v>
      </c>
      <c r="Y26" s="62"/>
    </row>
    <row r="27" spans="1:25" ht="25.5" customHeight="1" x14ac:dyDescent="0.3">
      <c r="A27" s="33">
        <v>1</v>
      </c>
      <c r="B27" s="36" t="s">
        <v>111</v>
      </c>
      <c r="C27" s="37" t="s">
        <v>112</v>
      </c>
      <c r="D27" s="34">
        <v>2364.08</v>
      </c>
      <c r="E27" s="34">
        <v>2207.4499999999998</v>
      </c>
      <c r="F27" s="34">
        <v>1800</v>
      </c>
      <c r="G27" s="34">
        <v>1800</v>
      </c>
      <c r="H27" s="34">
        <v>2246.86</v>
      </c>
      <c r="I27" s="34">
        <v>1650.96</v>
      </c>
      <c r="J27" s="34">
        <v>1600</v>
      </c>
      <c r="K27" s="34">
        <v>1521.67</v>
      </c>
      <c r="L27" s="34">
        <v>1432.57</v>
      </c>
      <c r="M27" s="34">
        <v>1721.19</v>
      </c>
      <c r="N27" s="34">
        <v>1722.48</v>
      </c>
      <c r="O27" s="34">
        <v>1600</v>
      </c>
      <c r="P27" s="34">
        <v>1565.95</v>
      </c>
      <c r="Q27" s="34">
        <v>2064.56</v>
      </c>
      <c r="R27" s="34">
        <v>1800</v>
      </c>
      <c r="S27" s="34">
        <v>1792.56</v>
      </c>
      <c r="T27" s="34">
        <v>1500</v>
      </c>
      <c r="U27" s="34">
        <f>GEOMEAN(D27:T27)</f>
        <v>1768.7938618130529</v>
      </c>
      <c r="V27" s="34">
        <v>1768.79</v>
      </c>
      <c r="W27" s="34">
        <v>1697.05</v>
      </c>
      <c r="X27" s="35">
        <f>U27/V27*100-100</f>
        <v>2.1833078278632456E-4</v>
      </c>
      <c r="Y27" s="35">
        <f>U27/W27*100-100</f>
        <v>4.2275632310805804</v>
      </c>
    </row>
    <row r="28" spans="1:25" ht="25.5" customHeight="1" x14ac:dyDescent="0.3">
      <c r="A28" s="33">
        <v>2</v>
      </c>
      <c r="B28" s="36" t="s">
        <v>113</v>
      </c>
      <c r="C28" s="37" t="s">
        <v>112</v>
      </c>
      <c r="D28" s="34">
        <v>2440.11</v>
      </c>
      <c r="E28" s="34">
        <v>2299.77</v>
      </c>
      <c r="F28" s="34">
        <v>2200</v>
      </c>
      <c r="G28" s="34">
        <v>2000</v>
      </c>
      <c r="H28" s="34">
        <v>2460.86</v>
      </c>
      <c r="I28" s="34">
        <v>1993.31</v>
      </c>
      <c r="J28" s="34">
        <v>2000</v>
      </c>
      <c r="K28" s="34">
        <v>1732.7</v>
      </c>
      <c r="L28" s="34">
        <v>1864.34</v>
      </c>
      <c r="M28" s="34">
        <v>2481.5100000000002</v>
      </c>
      <c r="N28" s="34">
        <v>1957.26</v>
      </c>
      <c r="O28" s="34">
        <v>1600</v>
      </c>
      <c r="P28" s="34">
        <v>1930.98</v>
      </c>
      <c r="Q28" s="34">
        <v>2420.94</v>
      </c>
      <c r="R28" s="34">
        <v>2200</v>
      </c>
      <c r="S28" s="34">
        <v>2193.92</v>
      </c>
      <c r="T28" s="34">
        <v>1766.03</v>
      </c>
      <c r="U28" s="34">
        <f>GEOMEAN(D28:T28)</f>
        <v>2073.6140080562968</v>
      </c>
      <c r="V28" s="34">
        <v>2073.61</v>
      </c>
      <c r="W28" s="34">
        <v>1966.06</v>
      </c>
      <c r="X28" s="35">
        <f>U28/V28*100-100</f>
        <v>1.9328881981550694E-4</v>
      </c>
      <c r="Y28" s="35">
        <f>U28/W28*100-100</f>
        <v>5.4705353883552306</v>
      </c>
    </row>
    <row r="29" spans="1:25" ht="25.5" customHeight="1" x14ac:dyDescent="0.3">
      <c r="A29" s="33">
        <v>3</v>
      </c>
      <c r="B29" s="36" t="s">
        <v>114</v>
      </c>
      <c r="C29" s="37" t="s">
        <v>112</v>
      </c>
      <c r="D29" s="34">
        <v>1500</v>
      </c>
      <c r="E29" s="34">
        <v>1500</v>
      </c>
      <c r="F29" s="34">
        <v>1500</v>
      </c>
      <c r="G29" s="34">
        <v>1500</v>
      </c>
      <c r="H29" s="34">
        <v>1746.91</v>
      </c>
      <c r="I29" s="34">
        <v>1266.45</v>
      </c>
      <c r="J29" s="34">
        <v>1466.48</v>
      </c>
      <c r="K29" s="34">
        <v>1032.28</v>
      </c>
      <c r="L29" s="34">
        <v>1000</v>
      </c>
      <c r="M29" s="34">
        <v>1477.52</v>
      </c>
      <c r="N29" s="34">
        <v>1032.28</v>
      </c>
      <c r="O29" s="34">
        <v>900</v>
      </c>
      <c r="P29" s="34">
        <v>900</v>
      </c>
      <c r="Q29" s="34">
        <v>1465.9</v>
      </c>
      <c r="R29" s="34">
        <v>1200</v>
      </c>
      <c r="S29" s="34">
        <v>1449.43</v>
      </c>
      <c r="T29" s="34">
        <v>1232.45</v>
      </c>
      <c r="U29" s="34">
        <f>GEOMEAN(D29:T29)</f>
        <v>1279.2713267851143</v>
      </c>
      <c r="V29" s="34">
        <v>1279.27</v>
      </c>
      <c r="W29" s="34">
        <v>1206.74</v>
      </c>
      <c r="X29" s="35">
        <f>U29/V29*100-100</f>
        <v>1.0371423657318246E-4</v>
      </c>
      <c r="Y29" s="35">
        <f>U29/W29*100-100</f>
        <v>6.0105181551215878</v>
      </c>
    </row>
    <row r="30" spans="1:25" ht="25.5" customHeight="1" x14ac:dyDescent="0.3">
      <c r="A30" s="33">
        <v>4</v>
      </c>
      <c r="B30" s="36" t="s">
        <v>115</v>
      </c>
      <c r="C30" s="37" t="s">
        <v>112</v>
      </c>
      <c r="D30" s="34">
        <v>2238.23</v>
      </c>
      <c r="E30" s="34">
        <v>2292.65</v>
      </c>
      <c r="F30" s="34">
        <v>1800</v>
      </c>
      <c r="G30" s="34">
        <v>1800</v>
      </c>
      <c r="H30" s="34">
        <v>2037.3</v>
      </c>
      <c r="I30" s="34">
        <v>1500</v>
      </c>
      <c r="J30" s="34">
        <v>2466.21</v>
      </c>
      <c r="K30" s="34">
        <v>1727.21</v>
      </c>
      <c r="L30" s="34">
        <v>1465.9</v>
      </c>
      <c r="M30" s="34">
        <v>2365.63</v>
      </c>
      <c r="N30" s="34">
        <v>2056.5700000000002</v>
      </c>
      <c r="O30" s="34">
        <v>1600</v>
      </c>
      <c r="P30" s="34">
        <v>1565.95</v>
      </c>
      <c r="Q30" s="34">
        <v>2500</v>
      </c>
      <c r="R30" s="34">
        <v>1600</v>
      </c>
      <c r="S30" s="34">
        <v>1698.04</v>
      </c>
      <c r="T30" s="34">
        <v>1500</v>
      </c>
      <c r="U30" s="34">
        <f>GEOMEAN(D30:T30)</f>
        <v>1863.4749806578482</v>
      </c>
      <c r="V30" s="34">
        <v>1863.47</v>
      </c>
      <c r="W30" s="34">
        <v>1749.84</v>
      </c>
      <c r="X30" s="35">
        <f>U30/V30*100-100</f>
        <v>2.6727867088993662E-4</v>
      </c>
      <c r="Y30" s="35">
        <f>U30/W30*100-100</f>
        <v>6.4940212052443798</v>
      </c>
    </row>
    <row r="31" spans="1:25" ht="25.5" customHeight="1" x14ac:dyDescent="0.3">
      <c r="A31" s="33">
        <v>5</v>
      </c>
      <c r="B31" s="36" t="s">
        <v>116</v>
      </c>
      <c r="C31" s="37" t="s">
        <v>117</v>
      </c>
      <c r="D31" s="34">
        <v>487</v>
      </c>
      <c r="E31" s="34">
        <v>461.48</v>
      </c>
      <c r="F31" s="34">
        <v>250</v>
      </c>
      <c r="G31" s="34">
        <v>230</v>
      </c>
      <c r="H31" s="34">
        <v>318.74</v>
      </c>
      <c r="I31" s="34">
        <v>265.66000000000003</v>
      </c>
      <c r="J31" s="34">
        <v>273.29000000000002</v>
      </c>
      <c r="K31" s="34">
        <v>223.61</v>
      </c>
      <c r="L31" s="34">
        <v>200</v>
      </c>
      <c r="M31" s="34">
        <v>400.28</v>
      </c>
      <c r="N31" s="34">
        <v>393.22</v>
      </c>
      <c r="O31" s="34">
        <v>200</v>
      </c>
      <c r="P31" s="34">
        <v>239.57</v>
      </c>
      <c r="Q31" s="34">
        <v>332.47</v>
      </c>
      <c r="R31" s="34">
        <v>193.1</v>
      </c>
      <c r="S31" s="34">
        <v>317.37</v>
      </c>
      <c r="T31" s="34">
        <v>293.18</v>
      </c>
      <c r="U31" s="34">
        <f>GEOMEAN(D31:T31)</f>
        <v>286.84307383437744</v>
      </c>
      <c r="V31" s="34">
        <v>286.83999999999997</v>
      </c>
      <c r="W31" s="34">
        <v>272.61</v>
      </c>
      <c r="X31" s="35">
        <f>U31/V31*100-100</f>
        <v>1.0716198498954554E-3</v>
      </c>
      <c r="Y31" s="35">
        <f>U31/W31*100-100</f>
        <v>5.2210387859496876</v>
      </c>
    </row>
    <row r="32" spans="1:25" ht="30" customHeight="1" x14ac:dyDescent="0.3">
      <c r="A32" s="28" t="s">
        <v>396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 ht="26.4" x14ac:dyDescent="0.3">
      <c r="A33" s="32" t="s">
        <v>133</v>
      </c>
      <c r="B33" s="62" t="s">
        <v>134</v>
      </c>
      <c r="C33" s="62"/>
      <c r="D33" s="32" t="s">
        <v>110</v>
      </c>
      <c r="E33" s="32" t="s">
        <v>146</v>
      </c>
      <c r="F33" s="32" t="s">
        <v>119</v>
      </c>
      <c r="G33" s="32" t="s">
        <v>120</v>
      </c>
      <c r="H33" s="32" t="s">
        <v>147</v>
      </c>
      <c r="I33" s="32" t="s">
        <v>121</v>
      </c>
      <c r="J33" s="32" t="s">
        <v>122</v>
      </c>
      <c r="K33" s="32" t="s">
        <v>123</v>
      </c>
      <c r="L33" s="32" t="s">
        <v>124</v>
      </c>
      <c r="M33" s="32" t="s">
        <v>125</v>
      </c>
      <c r="N33" s="32" t="s">
        <v>148</v>
      </c>
      <c r="O33" s="32" t="s">
        <v>126</v>
      </c>
      <c r="P33" s="32" t="s">
        <v>127</v>
      </c>
      <c r="Q33" s="32" t="s">
        <v>128</v>
      </c>
      <c r="R33" s="32" t="s">
        <v>129</v>
      </c>
      <c r="S33" s="32" t="s">
        <v>130</v>
      </c>
      <c r="T33" s="32" t="s">
        <v>131</v>
      </c>
      <c r="U33" s="32" t="s">
        <v>397</v>
      </c>
      <c r="V33" s="71" t="s">
        <v>398</v>
      </c>
      <c r="W33" s="71"/>
      <c r="X33" s="62" t="s">
        <v>399</v>
      </c>
      <c r="Y33" s="62"/>
    </row>
    <row r="34" spans="1:25" ht="27" customHeight="1" x14ac:dyDescent="0.3">
      <c r="A34" s="33">
        <v>1</v>
      </c>
      <c r="B34" s="68" t="s">
        <v>400</v>
      </c>
      <c r="C34" s="68"/>
      <c r="D34" s="33" t="s">
        <v>401</v>
      </c>
      <c r="E34" s="53">
        <v>1324.84</v>
      </c>
      <c r="F34" s="53">
        <v>1324.84</v>
      </c>
      <c r="G34" s="53">
        <v>1158.27</v>
      </c>
      <c r="H34" s="53">
        <v>1125</v>
      </c>
      <c r="I34" s="53">
        <v>1120</v>
      </c>
      <c r="J34" s="53">
        <v>1075</v>
      </c>
      <c r="K34" s="53">
        <v>1071.6600000000001</v>
      </c>
      <c r="L34" s="53">
        <v>1158.18</v>
      </c>
      <c r="M34" s="53">
        <v>1116.5999999999999</v>
      </c>
      <c r="N34" s="53">
        <v>1160</v>
      </c>
      <c r="O34" s="53">
        <v>1200</v>
      </c>
      <c r="P34" s="53">
        <v>1050</v>
      </c>
      <c r="Q34" s="53">
        <v>1139.9100000000001</v>
      </c>
      <c r="R34" s="53">
        <v>1350</v>
      </c>
      <c r="S34" s="53">
        <v>1340</v>
      </c>
      <c r="T34" s="53">
        <v>1199.97</v>
      </c>
      <c r="U34" s="53">
        <v>1200</v>
      </c>
      <c r="V34" s="54">
        <f>GEOMEAN(E34:U34)</f>
        <v>1179.5432342905463</v>
      </c>
      <c r="W34" s="54">
        <v>1164.1648181119467</v>
      </c>
      <c r="X34" s="69">
        <f>+ROUND(V34/W34*100-100,2)</f>
        <v>1.32</v>
      </c>
      <c r="Y34" s="70"/>
    </row>
    <row r="35" spans="1:25" ht="25.5" customHeight="1" x14ac:dyDescent="0.3">
      <c r="A35" s="33">
        <v>2</v>
      </c>
      <c r="B35" s="68" t="s">
        <v>402</v>
      </c>
      <c r="C35" s="68"/>
      <c r="D35" s="33" t="s">
        <v>403</v>
      </c>
      <c r="E35" s="53">
        <v>167.9</v>
      </c>
      <c r="F35" s="53">
        <v>158.62</v>
      </c>
      <c r="G35" s="53">
        <v>136.65</v>
      </c>
      <c r="H35" s="53">
        <v>146</v>
      </c>
      <c r="I35" s="53">
        <v>162.82</v>
      </c>
      <c r="J35" s="53">
        <v>140</v>
      </c>
      <c r="K35" s="53">
        <v>130</v>
      </c>
      <c r="L35" s="53">
        <v>146.9</v>
      </c>
      <c r="M35" s="53">
        <v>151.54</v>
      </c>
      <c r="N35" s="53">
        <v>150.04</v>
      </c>
      <c r="O35" s="53">
        <v>159.16</v>
      </c>
      <c r="P35" s="53">
        <v>150</v>
      </c>
      <c r="Q35" s="53">
        <v>130</v>
      </c>
      <c r="R35" s="53">
        <v>149.99</v>
      </c>
      <c r="S35" s="53">
        <v>147</v>
      </c>
      <c r="T35" s="53">
        <v>159</v>
      </c>
      <c r="U35" s="53">
        <v>140</v>
      </c>
      <c r="V35" s="54">
        <f>GEOMEAN(E35:U35)</f>
        <v>148.18515236962534</v>
      </c>
      <c r="W35" s="54">
        <v>146.58836038702302</v>
      </c>
      <c r="X35" s="69">
        <f>+ROUND(V35/W35*100-100,2)</f>
        <v>1.0900000000000001</v>
      </c>
      <c r="Y35" s="70"/>
    </row>
    <row r="36" spans="1:25" x14ac:dyDescent="0.3">
      <c r="A36" s="30"/>
      <c r="B36" s="31" t="s">
        <v>118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idden="1" x14ac:dyDescent="0.3">
      <c r="A38" s="30"/>
      <c r="B38" s="30"/>
      <c r="C38" s="30"/>
      <c r="D38" s="30">
        <v>375</v>
      </c>
      <c r="E38" s="30">
        <v>287.35000000000002</v>
      </c>
      <c r="F38" s="30">
        <v>142.99</v>
      </c>
      <c r="G38" s="30">
        <v>146.9</v>
      </c>
      <c r="H38" s="30">
        <v>138</v>
      </c>
      <c r="I38" s="30">
        <v>141.99</v>
      </c>
      <c r="J38" s="30">
        <v>145.99</v>
      </c>
      <c r="K38" s="30">
        <v>139.9</v>
      </c>
      <c r="L38" s="30">
        <v>138.6</v>
      </c>
      <c r="M38" s="30">
        <f>GEOMEAN(D38:L38)</f>
        <v>171.08077278917085</v>
      </c>
      <c r="N38" s="30"/>
      <c r="O38" s="30">
        <v>318.26</v>
      </c>
      <c r="P38" s="30">
        <v>300</v>
      </c>
      <c r="Q38" s="30">
        <v>300</v>
      </c>
      <c r="R38" s="30">
        <v>295</v>
      </c>
      <c r="S38" s="30">
        <v>349.9</v>
      </c>
      <c r="T38" s="30">
        <v>352</v>
      </c>
      <c r="U38" s="30">
        <v>315</v>
      </c>
      <c r="V38" s="30"/>
      <c r="W38" s="30">
        <f>GEOMEAN(O38:V38)</f>
        <v>317.85922525583311</v>
      </c>
      <c r="X38" s="30"/>
      <c r="Y38" s="30"/>
    </row>
    <row r="39" spans="1:25" hidden="1" x14ac:dyDescent="0.3">
      <c r="A39" s="3"/>
      <c r="B39" s="3"/>
      <c r="C39" s="3"/>
      <c r="D39" s="3"/>
      <c r="E39" s="3"/>
      <c r="F39" s="3"/>
      <c r="G39" s="3"/>
      <c r="H39" s="3">
        <v>5100</v>
      </c>
      <c r="I39" s="3">
        <v>4600</v>
      </c>
      <c r="J39" s="3">
        <v>4525</v>
      </c>
      <c r="K39" s="3">
        <v>4600</v>
      </c>
      <c r="L39" s="3">
        <v>4633.2700000000004</v>
      </c>
      <c r="M39" s="3">
        <v>4449.72</v>
      </c>
      <c r="N39" s="3">
        <v>4500</v>
      </c>
      <c r="O39" s="3">
        <v>4649.7299999999996</v>
      </c>
      <c r="P39" s="3">
        <v>4514.9799999999996</v>
      </c>
      <c r="Q39" s="3">
        <v>4466.42</v>
      </c>
      <c r="R39" s="3">
        <v>4550</v>
      </c>
      <c r="S39" s="3">
        <v>4650</v>
      </c>
      <c r="T39" s="3">
        <v>5099.3500000000004</v>
      </c>
      <c r="U39" s="3"/>
      <c r="V39" s="3"/>
      <c r="W39" s="3"/>
      <c r="X39" s="3"/>
      <c r="Y39" s="3"/>
    </row>
    <row r="40" spans="1:25" hidden="1" x14ac:dyDescent="0.3">
      <c r="A40" s="3"/>
      <c r="B40" s="3"/>
      <c r="C40" s="3"/>
      <c r="D40" s="3"/>
      <c r="E40" s="3"/>
      <c r="F40" s="3"/>
      <c r="G40" s="3"/>
      <c r="H40" s="3">
        <v>5050</v>
      </c>
      <c r="I40" s="3">
        <v>4550</v>
      </c>
      <c r="J40" s="3">
        <v>4450</v>
      </c>
      <c r="K40" s="3">
        <v>4550</v>
      </c>
      <c r="L40" s="3">
        <v>4533.2700000000004</v>
      </c>
      <c r="M40" s="3">
        <v>4349.71</v>
      </c>
      <c r="N40" s="3">
        <v>4483.2700000000004</v>
      </c>
      <c r="O40" s="3" t="s">
        <v>139</v>
      </c>
      <c r="P40" s="3">
        <v>4500</v>
      </c>
      <c r="Q40" s="3" t="s">
        <v>139</v>
      </c>
      <c r="R40" s="3">
        <v>4413.32</v>
      </c>
      <c r="S40" s="3">
        <v>4300</v>
      </c>
      <c r="T40" s="3" t="s">
        <v>139</v>
      </c>
      <c r="U40" s="3"/>
      <c r="V40" s="3"/>
      <c r="W40" s="3"/>
      <c r="X40" s="3"/>
      <c r="Y40" s="3"/>
    </row>
    <row r="41" spans="1:25" hidden="1" x14ac:dyDescent="0.3">
      <c r="A41" s="3"/>
      <c r="B41" s="3"/>
      <c r="C41" s="3"/>
      <c r="D41" s="3"/>
      <c r="E41" s="3"/>
      <c r="F41" s="3"/>
      <c r="G41" s="3"/>
      <c r="H41" s="3">
        <v>5000</v>
      </c>
      <c r="I41" s="3">
        <v>4300</v>
      </c>
      <c r="J41" s="3">
        <v>4400</v>
      </c>
      <c r="K41" s="3" t="s">
        <v>139</v>
      </c>
      <c r="L41" s="3">
        <v>4233.2700000000004</v>
      </c>
      <c r="M41" s="3">
        <v>4149.7</v>
      </c>
      <c r="N41" s="3">
        <v>3766.37</v>
      </c>
      <c r="O41" s="3">
        <v>4300</v>
      </c>
      <c r="P41" s="3">
        <v>4150</v>
      </c>
      <c r="Q41" s="3" t="s">
        <v>139</v>
      </c>
      <c r="R41" s="3" t="s">
        <v>139</v>
      </c>
      <c r="S41" s="3" t="s">
        <v>139</v>
      </c>
      <c r="T41" s="3" t="s">
        <v>139</v>
      </c>
      <c r="U41" s="3"/>
      <c r="V41" s="3"/>
      <c r="W41" s="3"/>
      <c r="X41" s="3"/>
      <c r="Y41" s="3"/>
    </row>
    <row r="42" spans="1:25" hidden="1" x14ac:dyDescent="0.3">
      <c r="A42" s="3"/>
      <c r="B42" s="3"/>
      <c r="C42" s="3"/>
      <c r="D42" s="3"/>
      <c r="E42" s="3"/>
      <c r="F42" s="3"/>
      <c r="G42" s="3"/>
      <c r="H42" s="3" t="s">
        <v>139</v>
      </c>
      <c r="I42" s="3">
        <v>4800</v>
      </c>
      <c r="J42" s="3">
        <v>4700</v>
      </c>
      <c r="K42" s="3">
        <v>4800</v>
      </c>
      <c r="L42" s="3">
        <v>4733.2700000000004</v>
      </c>
      <c r="M42" s="3" t="s">
        <v>139</v>
      </c>
      <c r="N42" s="3" t="s">
        <v>139</v>
      </c>
      <c r="O42" s="3">
        <v>2949.58</v>
      </c>
      <c r="P42" s="3" t="s">
        <v>139</v>
      </c>
      <c r="Q42" s="3">
        <v>4161.7299999999996</v>
      </c>
      <c r="R42" s="3">
        <v>4800</v>
      </c>
      <c r="S42" s="3" t="s">
        <v>139</v>
      </c>
      <c r="T42" s="3" t="s">
        <v>139</v>
      </c>
      <c r="U42" s="3"/>
      <c r="V42" s="3"/>
      <c r="W42" s="3"/>
      <c r="X42" s="3"/>
      <c r="Y42" s="3"/>
    </row>
    <row r="43" spans="1:25" hidden="1" x14ac:dyDescent="0.3">
      <c r="A43" s="3"/>
      <c r="B43" s="3"/>
      <c r="C43" s="3"/>
      <c r="D43" s="3"/>
      <c r="E43" s="3"/>
      <c r="F43" s="3"/>
      <c r="G43" s="3"/>
      <c r="H43" s="3" t="s">
        <v>139</v>
      </c>
      <c r="I43" s="3">
        <v>13000</v>
      </c>
      <c r="J43" s="3">
        <v>15300</v>
      </c>
      <c r="K43" s="3">
        <v>15000</v>
      </c>
      <c r="L43" s="3">
        <v>15800</v>
      </c>
      <c r="M43" s="3">
        <v>14849.92</v>
      </c>
      <c r="N43" s="3">
        <v>13331.23</v>
      </c>
      <c r="O43" s="3" t="s">
        <v>139</v>
      </c>
      <c r="P43" s="3" t="s">
        <v>139</v>
      </c>
      <c r="Q43" s="3">
        <v>16200</v>
      </c>
      <c r="R43" s="3">
        <v>15000</v>
      </c>
      <c r="S43" s="3" t="s">
        <v>139</v>
      </c>
      <c r="T43" s="3" t="s">
        <v>139</v>
      </c>
      <c r="U43" s="3"/>
      <c r="V43" s="3"/>
      <c r="W43" s="3"/>
      <c r="X43" s="3"/>
      <c r="Y43" s="3"/>
    </row>
    <row r="44" spans="1:25" hidden="1" x14ac:dyDescent="0.3">
      <c r="A44" s="3"/>
      <c r="B44" s="3"/>
      <c r="C44" s="3"/>
      <c r="D44" s="3"/>
      <c r="E44" s="3"/>
      <c r="F44" s="3"/>
      <c r="G44" s="3"/>
      <c r="H44" s="3" t="s">
        <v>139</v>
      </c>
      <c r="I44" s="3">
        <v>10200</v>
      </c>
      <c r="J44" s="3">
        <v>10700</v>
      </c>
      <c r="K44" s="3">
        <v>10300</v>
      </c>
      <c r="L44" s="3">
        <v>10300</v>
      </c>
      <c r="M44" s="3">
        <v>9749.8700000000008</v>
      </c>
      <c r="N44" s="3">
        <v>9863.14</v>
      </c>
      <c r="O44" s="3">
        <v>10049.879999999999</v>
      </c>
      <c r="P44" s="3">
        <v>9800</v>
      </c>
      <c r="Q44" s="3">
        <v>9463.58</v>
      </c>
      <c r="R44" s="3">
        <v>10100</v>
      </c>
      <c r="S44" s="3" t="s">
        <v>139</v>
      </c>
      <c r="T44" s="3" t="s">
        <v>139</v>
      </c>
      <c r="U44" s="3"/>
      <c r="V44" s="3"/>
      <c r="W44" s="3"/>
      <c r="X44" s="3"/>
      <c r="Y44" s="3"/>
    </row>
    <row r="45" spans="1:25" hidden="1" x14ac:dyDescent="0.3">
      <c r="A45" s="3"/>
      <c r="B45" s="3"/>
      <c r="C45" s="3"/>
      <c r="D45" s="3"/>
      <c r="E45" s="3"/>
      <c r="F45" s="3"/>
      <c r="G45" s="3"/>
      <c r="H45" s="3">
        <v>15500</v>
      </c>
      <c r="I45" s="3">
        <v>16300</v>
      </c>
      <c r="J45" s="3">
        <v>16200</v>
      </c>
      <c r="K45" s="3">
        <v>16000</v>
      </c>
      <c r="L45" s="3">
        <v>15566.65</v>
      </c>
      <c r="M45" s="3">
        <v>15849.92</v>
      </c>
      <c r="N45" s="3">
        <v>16500</v>
      </c>
      <c r="O45" s="3">
        <v>16000</v>
      </c>
      <c r="P45" s="3">
        <v>15800</v>
      </c>
      <c r="Q45" s="3">
        <v>16100</v>
      </c>
      <c r="R45" s="3">
        <v>16200</v>
      </c>
      <c r="S45" s="3">
        <v>16500</v>
      </c>
      <c r="T45" s="3">
        <v>15899.79</v>
      </c>
      <c r="U45" s="3"/>
      <c r="V45" s="3"/>
      <c r="W45" s="3"/>
      <c r="X45" s="3"/>
      <c r="Y45" s="3"/>
    </row>
    <row r="46" spans="1:25" hidden="1" x14ac:dyDescent="0.3">
      <c r="A46" s="3"/>
      <c r="B46" s="3"/>
      <c r="C46" s="3"/>
      <c r="D46" s="3"/>
      <c r="E46" s="3"/>
      <c r="F46" s="3"/>
      <c r="G46" s="3"/>
      <c r="H46" s="3">
        <v>9900</v>
      </c>
      <c r="I46" s="3" t="s">
        <v>139</v>
      </c>
      <c r="J46" s="3">
        <v>11600</v>
      </c>
      <c r="K46" s="3">
        <v>9600</v>
      </c>
      <c r="L46" s="3">
        <v>10783.31</v>
      </c>
      <c r="M46" s="3">
        <v>9849.8700000000008</v>
      </c>
      <c r="N46" s="3">
        <v>11200</v>
      </c>
      <c r="O46" s="3" t="s">
        <v>139</v>
      </c>
      <c r="P46" s="3" t="s">
        <v>139</v>
      </c>
      <c r="Q46" s="3" t="s">
        <v>139</v>
      </c>
      <c r="R46" s="3">
        <v>10500</v>
      </c>
      <c r="S46" s="3">
        <v>10300</v>
      </c>
      <c r="T46" s="3">
        <v>10399.68</v>
      </c>
      <c r="U46" s="3"/>
      <c r="V46" s="3"/>
      <c r="W46" s="3"/>
      <c r="X46" s="3"/>
      <c r="Y46" s="3"/>
    </row>
    <row r="47" spans="1:25" hidden="1" x14ac:dyDescent="0.3">
      <c r="A47" s="3"/>
      <c r="B47" s="3"/>
      <c r="C47" s="3"/>
      <c r="D47" s="3"/>
      <c r="E47" s="3"/>
      <c r="F47" s="3"/>
      <c r="G47" s="3"/>
      <c r="H47" s="3">
        <v>4450</v>
      </c>
      <c r="I47" s="3">
        <v>4250</v>
      </c>
      <c r="J47" s="3">
        <v>4400</v>
      </c>
      <c r="K47" s="3">
        <v>4400</v>
      </c>
      <c r="L47" s="3">
        <v>4416.6000000000004</v>
      </c>
      <c r="M47" s="3">
        <v>4224.93</v>
      </c>
      <c r="N47" s="3">
        <v>4300</v>
      </c>
      <c r="O47" s="3">
        <v>4549.7299999999996</v>
      </c>
      <c r="P47" s="3">
        <v>4200</v>
      </c>
      <c r="Q47" s="3">
        <v>4265.6400000000003</v>
      </c>
      <c r="R47" s="3">
        <v>4300</v>
      </c>
      <c r="S47" s="3">
        <v>4350</v>
      </c>
      <c r="T47" s="3">
        <v>5399.38</v>
      </c>
      <c r="U47" s="3"/>
      <c r="V47" s="3"/>
      <c r="W47" s="3"/>
      <c r="X47" s="3"/>
      <c r="Y47" s="3"/>
    </row>
    <row r="48" spans="1:25" hidden="1" x14ac:dyDescent="0.3">
      <c r="A48" s="3"/>
      <c r="B48" s="3"/>
      <c r="C48" s="3"/>
      <c r="D48" s="3"/>
      <c r="E48" s="3"/>
      <c r="F48" s="3"/>
      <c r="G48" s="3"/>
      <c r="H48" s="3">
        <v>4300</v>
      </c>
      <c r="I48" s="3">
        <v>4230</v>
      </c>
      <c r="J48" s="3">
        <v>4300</v>
      </c>
      <c r="K48" s="3">
        <v>4350</v>
      </c>
      <c r="L48" s="3">
        <v>4466.6000000000004</v>
      </c>
      <c r="M48" s="3">
        <v>4124.92</v>
      </c>
      <c r="N48" s="3">
        <v>4300</v>
      </c>
      <c r="O48" s="3" t="s">
        <v>139</v>
      </c>
      <c r="P48" s="3">
        <v>4224.93</v>
      </c>
      <c r="Q48" s="3" t="s">
        <v>139</v>
      </c>
      <c r="R48" s="3">
        <v>4200</v>
      </c>
      <c r="S48" s="3">
        <v>4300</v>
      </c>
      <c r="T48" s="3" t="s">
        <v>139</v>
      </c>
      <c r="U48" s="3"/>
      <c r="V48" s="3"/>
      <c r="W48" s="3"/>
      <c r="X48" s="3"/>
      <c r="Y48" s="3"/>
    </row>
    <row r="49" spans="1:25" hidden="1" x14ac:dyDescent="0.3">
      <c r="A49" s="3"/>
      <c r="B49" s="3"/>
      <c r="C49" s="3"/>
      <c r="D49" s="3"/>
      <c r="E49" s="3"/>
      <c r="F49" s="3"/>
      <c r="G49" s="3"/>
      <c r="H49" s="3">
        <v>4200</v>
      </c>
      <c r="I49" s="3">
        <v>4000</v>
      </c>
      <c r="J49" s="3">
        <v>4050</v>
      </c>
      <c r="K49" s="3" t="s">
        <v>139</v>
      </c>
      <c r="L49" s="3">
        <v>4100</v>
      </c>
      <c r="M49" s="3">
        <v>3949.68</v>
      </c>
      <c r="N49" s="3">
        <v>4000</v>
      </c>
      <c r="O49" s="3">
        <v>4149.7</v>
      </c>
      <c r="P49" s="3">
        <v>4049.69</v>
      </c>
      <c r="Q49" s="3" t="s">
        <v>139</v>
      </c>
      <c r="R49" s="3" t="s">
        <v>139</v>
      </c>
      <c r="S49" s="3" t="s">
        <v>139</v>
      </c>
      <c r="T49" s="3" t="s">
        <v>139</v>
      </c>
      <c r="U49" s="3"/>
      <c r="V49" s="3"/>
      <c r="W49" s="3"/>
      <c r="X49" s="3"/>
      <c r="Y49" s="3"/>
    </row>
    <row r="50" spans="1:25" hidden="1" x14ac:dyDescent="0.3">
      <c r="A50" s="3"/>
      <c r="B50" s="3"/>
      <c r="C50" s="3"/>
      <c r="D50" s="3"/>
      <c r="E50" s="3"/>
      <c r="F50" s="3"/>
      <c r="G50" s="3"/>
      <c r="H50" s="3" t="s">
        <v>139</v>
      </c>
      <c r="I50" s="3">
        <v>3200</v>
      </c>
      <c r="J50" s="3">
        <v>3200</v>
      </c>
      <c r="K50" s="3">
        <v>3200</v>
      </c>
      <c r="L50" s="3">
        <v>3300</v>
      </c>
      <c r="M50" s="3" t="s">
        <v>139</v>
      </c>
      <c r="N50" s="3" t="s">
        <v>139</v>
      </c>
      <c r="O50" s="3">
        <v>2449.4899999999998</v>
      </c>
      <c r="P50" s="3" t="s">
        <v>139</v>
      </c>
      <c r="Q50" s="3">
        <v>3409.65</v>
      </c>
      <c r="R50" s="3">
        <v>3200</v>
      </c>
      <c r="S50" s="3" t="s">
        <v>139</v>
      </c>
      <c r="T50" s="3" t="s">
        <v>139</v>
      </c>
      <c r="U50" s="3"/>
      <c r="V50" s="3"/>
      <c r="W50" s="3"/>
      <c r="X50" s="3"/>
      <c r="Y50" s="3"/>
    </row>
    <row r="51" spans="1:25" hidden="1" x14ac:dyDescent="0.3">
      <c r="A51" s="3"/>
      <c r="B51" s="3"/>
      <c r="C51" s="3"/>
      <c r="D51" s="3"/>
      <c r="E51" s="3"/>
      <c r="F51" s="3"/>
      <c r="G51" s="3"/>
      <c r="H51" s="3" t="s">
        <v>139</v>
      </c>
      <c r="I51" s="3">
        <v>10500</v>
      </c>
      <c r="J51" s="3">
        <v>12356.22</v>
      </c>
      <c r="K51" s="3">
        <v>13800</v>
      </c>
      <c r="L51" s="3">
        <v>11500</v>
      </c>
      <c r="M51" s="3">
        <v>12399.6</v>
      </c>
      <c r="N51" s="3">
        <v>13000</v>
      </c>
      <c r="O51" s="3" t="s">
        <v>139</v>
      </c>
      <c r="P51" s="3" t="s">
        <v>139</v>
      </c>
      <c r="Q51" s="3">
        <v>13512.65</v>
      </c>
      <c r="R51" s="3">
        <v>12000</v>
      </c>
      <c r="S51" s="3" t="s">
        <v>139</v>
      </c>
      <c r="T51" s="3" t="s">
        <v>139</v>
      </c>
      <c r="U51" s="3"/>
      <c r="V51" s="3"/>
      <c r="W51" s="3"/>
      <c r="X51" s="3"/>
      <c r="Y51" s="3"/>
    </row>
    <row r="52" spans="1:25" hidden="1" x14ac:dyDescent="0.3">
      <c r="A52" s="3"/>
      <c r="B52" s="3"/>
      <c r="C52" s="3"/>
      <c r="D52" s="3"/>
      <c r="E52" s="3"/>
      <c r="F52" s="3"/>
      <c r="G52" s="3"/>
      <c r="H52" s="3" t="s">
        <v>139</v>
      </c>
      <c r="I52" s="3">
        <v>8250</v>
      </c>
      <c r="J52" s="3">
        <v>8400</v>
      </c>
      <c r="K52" s="3">
        <v>8300</v>
      </c>
      <c r="L52" s="3">
        <v>8400</v>
      </c>
      <c r="M52" s="3">
        <v>8124.96</v>
      </c>
      <c r="N52" s="3">
        <v>8300</v>
      </c>
      <c r="O52" s="3">
        <v>8249.85</v>
      </c>
      <c r="P52" s="3">
        <v>8300</v>
      </c>
      <c r="Q52" s="3">
        <v>7231.86</v>
      </c>
      <c r="R52" s="3">
        <v>8200</v>
      </c>
      <c r="S52" s="3" t="s">
        <v>139</v>
      </c>
      <c r="T52" s="3" t="s">
        <v>139</v>
      </c>
      <c r="U52" s="3"/>
      <c r="V52" s="3"/>
      <c r="W52" s="3"/>
      <c r="X52" s="3"/>
      <c r="Y52" s="3"/>
    </row>
    <row r="53" spans="1:25" hidden="1" x14ac:dyDescent="0.3">
      <c r="A53" s="3"/>
      <c r="B53" s="3"/>
      <c r="C53" s="3"/>
      <c r="D53" s="3"/>
      <c r="E53" s="3"/>
      <c r="F53" s="3"/>
      <c r="G53" s="3"/>
      <c r="H53" s="3">
        <v>13000</v>
      </c>
      <c r="I53" s="3">
        <v>13000</v>
      </c>
      <c r="J53" s="3">
        <v>13400</v>
      </c>
      <c r="K53" s="3">
        <v>13150</v>
      </c>
      <c r="L53" s="3">
        <v>13300</v>
      </c>
      <c r="M53" s="3">
        <v>13296.62</v>
      </c>
      <c r="N53" s="3">
        <v>13200</v>
      </c>
      <c r="O53" s="3">
        <v>12247.45</v>
      </c>
      <c r="P53" s="3">
        <v>12774.78</v>
      </c>
      <c r="Q53" s="3">
        <v>12960.86</v>
      </c>
      <c r="R53" s="3">
        <v>13266.58</v>
      </c>
      <c r="S53" s="3">
        <v>13000</v>
      </c>
      <c r="T53" s="3">
        <v>13899.76</v>
      </c>
      <c r="U53" s="3"/>
      <c r="V53" s="3"/>
      <c r="W53" s="3"/>
      <c r="X53" s="3"/>
      <c r="Y53" s="3"/>
    </row>
    <row r="54" spans="1:25" hidden="1" x14ac:dyDescent="0.3">
      <c r="A54" s="3"/>
      <c r="B54" s="3"/>
      <c r="C54" s="3"/>
      <c r="D54" s="3"/>
      <c r="E54" s="3"/>
      <c r="F54" s="3"/>
      <c r="G54" s="3"/>
      <c r="H54" s="3">
        <v>9400</v>
      </c>
      <c r="I54" s="3" t="s">
        <v>139</v>
      </c>
      <c r="J54" s="3">
        <v>8500</v>
      </c>
      <c r="K54" s="3">
        <v>9600</v>
      </c>
      <c r="L54" s="3">
        <v>8700</v>
      </c>
      <c r="M54" s="3">
        <v>8549.85</v>
      </c>
      <c r="N54" s="3">
        <v>9900</v>
      </c>
      <c r="O54" s="3" t="s">
        <v>139</v>
      </c>
      <c r="P54" s="3" t="s">
        <v>139</v>
      </c>
      <c r="Q54" s="3" t="s">
        <v>139</v>
      </c>
      <c r="R54" s="3">
        <v>9000</v>
      </c>
      <c r="S54" s="3">
        <v>8200</v>
      </c>
      <c r="T54" s="3">
        <v>9699.66</v>
      </c>
      <c r="U54" s="3"/>
      <c r="V54" s="3"/>
      <c r="W54" s="3"/>
      <c r="X54" s="3"/>
      <c r="Y54" s="3"/>
    </row>
    <row r="55" spans="1:2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</sheetData>
  <mergeCells count="29">
    <mergeCell ref="B35:C35"/>
    <mergeCell ref="X35:Y35"/>
    <mergeCell ref="B33:C33"/>
    <mergeCell ref="V33:W33"/>
    <mergeCell ref="X33:Y33"/>
    <mergeCell ref="B34:C34"/>
    <mergeCell ref="X34:Y34"/>
    <mergeCell ref="U26:W26"/>
    <mergeCell ref="X26:Y26"/>
    <mergeCell ref="B16:C16"/>
    <mergeCell ref="B17:C17"/>
    <mergeCell ref="U16:W16"/>
    <mergeCell ref="X16:Y16"/>
    <mergeCell ref="B21:C21"/>
    <mergeCell ref="B22:C22"/>
    <mergeCell ref="X21:Y21"/>
    <mergeCell ref="X22:Y22"/>
    <mergeCell ref="B9:G9"/>
    <mergeCell ref="B10:G10"/>
    <mergeCell ref="B11:G11"/>
    <mergeCell ref="B12:G12"/>
    <mergeCell ref="U4:W4"/>
    <mergeCell ref="B7:G7"/>
    <mergeCell ref="B8:G8"/>
    <mergeCell ref="X4:Y4"/>
    <mergeCell ref="A1:Y1"/>
    <mergeCell ref="B4:G4"/>
    <mergeCell ref="B5:G5"/>
    <mergeCell ref="B6:G6"/>
  </mergeCells>
  <printOptions horizontalCentered="1"/>
  <pageMargins left="0.4861111111111111" right="0.4861111111111111" top="0.4861111111111111" bottom="0.4861111111111111" header="0.3" footer="0.3"/>
  <pageSetup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DA49-EA81-46A1-8227-7E5A2BA07167}">
  <dimension ref="A1:BN179"/>
  <sheetViews>
    <sheetView workbookViewId="0">
      <selection sqref="A1:F1"/>
    </sheetView>
  </sheetViews>
  <sheetFormatPr defaultRowHeight="14.4" x14ac:dyDescent="0.3"/>
  <cols>
    <col min="1" max="1" width="16" customWidth="1"/>
    <col min="2" max="6" width="13.6640625" customWidth="1"/>
  </cols>
  <sheetData>
    <row r="1" spans="1:66" ht="12" customHeight="1" x14ac:dyDescent="0.3">
      <c r="A1" s="73" t="s">
        <v>156</v>
      </c>
      <c r="B1" s="74"/>
      <c r="C1" s="74"/>
      <c r="D1" s="74"/>
      <c r="E1" s="74"/>
      <c r="F1" s="74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3">
      <c r="A2" s="29"/>
      <c r="B2" s="29"/>
      <c r="C2" s="29"/>
      <c r="D2" s="29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1" x14ac:dyDescent="0.3">
      <c r="A3" s="75" t="s">
        <v>157</v>
      </c>
      <c r="B3" s="75"/>
      <c r="C3" s="75"/>
      <c r="D3" s="75"/>
      <c r="E3" s="75"/>
      <c r="F3" s="75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1" x14ac:dyDescent="0.3">
      <c r="A4" s="75" t="s">
        <v>158</v>
      </c>
      <c r="B4" s="75"/>
      <c r="C4" s="75"/>
      <c r="D4" s="75"/>
      <c r="E4" s="75"/>
      <c r="F4" s="75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30" customHeight="1" x14ac:dyDescent="0.3">
      <c r="A5" s="32" t="s">
        <v>159</v>
      </c>
      <c r="B5" s="62" t="s">
        <v>160</v>
      </c>
      <c r="C5" s="62"/>
      <c r="D5" s="62"/>
      <c r="E5" s="62" t="s">
        <v>161</v>
      </c>
      <c r="F5" s="62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3">
      <c r="A6" s="72" t="s">
        <v>162</v>
      </c>
      <c r="B6" s="68"/>
      <c r="C6" s="68"/>
      <c r="D6" s="68"/>
      <c r="E6" s="68"/>
      <c r="F6" s="68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3">
      <c r="A7" s="37" t="s">
        <v>163</v>
      </c>
      <c r="B7" s="35">
        <v>314.22000000000003</v>
      </c>
      <c r="C7" s="35">
        <v>310.39999999999998</v>
      </c>
      <c r="D7" s="35">
        <v>282.67</v>
      </c>
      <c r="E7" s="35">
        <f t="shared" ref="E7:E12" si="0">B7/C7*100-100</f>
        <v>1.2306701030927911</v>
      </c>
      <c r="F7" s="35">
        <f t="shared" ref="F7:F12" si="1">B7/D7*100-100</f>
        <v>11.161424983195971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3">
      <c r="A8" s="37" t="s">
        <v>164</v>
      </c>
      <c r="B8" s="35">
        <v>435.12</v>
      </c>
      <c r="C8" s="35">
        <v>433.99</v>
      </c>
      <c r="D8" s="35">
        <v>400.45</v>
      </c>
      <c r="E8" s="35">
        <f t="shared" si="0"/>
        <v>0.2603746630106798</v>
      </c>
      <c r="F8" s="35">
        <f t="shared" si="1"/>
        <v>8.6577600199775304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3">
      <c r="A9" s="37" t="s">
        <v>165</v>
      </c>
      <c r="B9" s="35">
        <v>315.67</v>
      </c>
      <c r="C9" s="35">
        <v>315.67</v>
      </c>
      <c r="D9" s="35">
        <v>289.94</v>
      </c>
      <c r="E9" s="35">
        <f t="shared" si="0"/>
        <v>0</v>
      </c>
      <c r="F9" s="35">
        <f t="shared" si="1"/>
        <v>8.8742498447954858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3">
      <c r="A10" s="37" t="s">
        <v>166</v>
      </c>
      <c r="B10" s="35">
        <v>632.77</v>
      </c>
      <c r="C10" s="35">
        <v>632.77</v>
      </c>
      <c r="D10" s="35">
        <v>588.84</v>
      </c>
      <c r="E10" s="35">
        <f t="shared" si="0"/>
        <v>0</v>
      </c>
      <c r="F10" s="35">
        <f t="shared" si="1"/>
        <v>7.4604306772637585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3">
      <c r="A11" s="37" t="s">
        <v>167</v>
      </c>
      <c r="B11" s="35">
        <v>442.73</v>
      </c>
      <c r="C11" s="35">
        <v>420.23</v>
      </c>
      <c r="D11" s="35">
        <v>368.18</v>
      </c>
      <c r="E11" s="35">
        <f t="shared" si="0"/>
        <v>5.354210789329656</v>
      </c>
      <c r="F11" s="35">
        <f t="shared" si="1"/>
        <v>20.248248139496994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3">
      <c r="A12" s="37" t="s">
        <v>168</v>
      </c>
      <c r="B12" s="35">
        <v>349.8</v>
      </c>
      <c r="C12" s="35">
        <v>346.78</v>
      </c>
      <c r="D12" s="35">
        <v>317.33999999999997</v>
      </c>
      <c r="E12" s="35">
        <f t="shared" si="0"/>
        <v>0.87086913893534756</v>
      </c>
      <c r="F12" s="35">
        <f t="shared" si="1"/>
        <v>10.228776706371718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x14ac:dyDescent="0.3">
      <c r="A13" s="72" t="s">
        <v>169</v>
      </c>
      <c r="B13" s="68"/>
      <c r="C13" s="68"/>
      <c r="D13" s="68"/>
      <c r="E13" s="68"/>
      <c r="F13" s="68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x14ac:dyDescent="0.3">
      <c r="A14" s="37" t="s">
        <v>163</v>
      </c>
      <c r="B14" s="35">
        <v>314.19</v>
      </c>
      <c r="C14" s="35">
        <v>310.66000000000003</v>
      </c>
      <c r="D14" s="35">
        <v>282.61</v>
      </c>
      <c r="E14" s="35">
        <f t="shared" ref="E14:E19" si="2">B14/C14*100-100</f>
        <v>1.1362904783364343</v>
      </c>
      <c r="F14" s="35">
        <f t="shared" ref="F14:F19" si="3">B14/D14*100-100</f>
        <v>11.174409964261685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x14ac:dyDescent="0.3">
      <c r="A15" s="37" t="s">
        <v>164</v>
      </c>
      <c r="B15" s="35">
        <v>437.77</v>
      </c>
      <c r="C15" s="35">
        <v>435.7</v>
      </c>
      <c r="D15" s="35">
        <v>397.69</v>
      </c>
      <c r="E15" s="35">
        <f t="shared" si="2"/>
        <v>0.47509754418177863</v>
      </c>
      <c r="F15" s="35">
        <f t="shared" si="3"/>
        <v>10.078201614322708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x14ac:dyDescent="0.3">
      <c r="A16" s="37" t="s">
        <v>165</v>
      </c>
      <c r="B16" s="35">
        <v>321.68</v>
      </c>
      <c r="C16" s="35">
        <v>321.69</v>
      </c>
      <c r="D16" s="35">
        <v>296.02999999999997</v>
      </c>
      <c r="E16" s="35">
        <f t="shared" si="2"/>
        <v>-3.1085827970969149E-3</v>
      </c>
      <c r="F16" s="35">
        <f t="shared" si="3"/>
        <v>8.6646623653008419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x14ac:dyDescent="0.3">
      <c r="A17" s="37" t="s">
        <v>166</v>
      </c>
      <c r="B17" s="35">
        <v>586.19000000000005</v>
      </c>
      <c r="C17" s="35">
        <v>586.19000000000005</v>
      </c>
      <c r="D17" s="35">
        <v>535.54999999999995</v>
      </c>
      <c r="E17" s="35">
        <f t="shared" si="2"/>
        <v>0</v>
      </c>
      <c r="F17" s="35">
        <f t="shared" si="3"/>
        <v>9.4556997479227078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x14ac:dyDescent="0.3">
      <c r="A18" s="37" t="s">
        <v>167</v>
      </c>
      <c r="B18" s="35">
        <v>442.72</v>
      </c>
      <c r="C18" s="35">
        <v>420.23</v>
      </c>
      <c r="D18" s="35">
        <v>368.18</v>
      </c>
      <c r="E18" s="35">
        <f t="shared" si="2"/>
        <v>5.3518311400899421</v>
      </c>
      <c r="F18" s="35">
        <f t="shared" si="3"/>
        <v>20.245532076701608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x14ac:dyDescent="0.3">
      <c r="A19" s="37" t="s">
        <v>168</v>
      </c>
      <c r="B19" s="35">
        <v>351.58</v>
      </c>
      <c r="C19" s="35">
        <v>348.49</v>
      </c>
      <c r="D19" s="35">
        <v>317.42</v>
      </c>
      <c r="E19" s="35">
        <f t="shared" si="2"/>
        <v>0.88668254469281749</v>
      </c>
      <c r="F19" s="35">
        <f t="shared" si="3"/>
        <v>10.761766744376516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x14ac:dyDescent="0.3">
      <c r="A20" s="72" t="s">
        <v>170</v>
      </c>
      <c r="B20" s="68"/>
      <c r="C20" s="68"/>
      <c r="D20" s="68"/>
      <c r="E20" s="68"/>
      <c r="F20" s="68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x14ac:dyDescent="0.3">
      <c r="A21" s="37" t="s">
        <v>163</v>
      </c>
      <c r="B21" s="35">
        <v>313.45999999999998</v>
      </c>
      <c r="C21" s="35">
        <v>310.41000000000003</v>
      </c>
      <c r="D21" s="35">
        <v>282.93</v>
      </c>
      <c r="E21" s="35">
        <f t="shared" ref="E21:E26" si="4">B21/C21*100-100</f>
        <v>0.98257143777583167</v>
      </c>
      <c r="F21" s="35">
        <f t="shared" ref="F21:F26" si="5">B21/D21*100-100</f>
        <v>10.79065493231542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x14ac:dyDescent="0.3">
      <c r="A22" s="37" t="s">
        <v>164</v>
      </c>
      <c r="B22" s="35">
        <v>505.01</v>
      </c>
      <c r="C22" s="35">
        <v>502.26</v>
      </c>
      <c r="D22" s="35">
        <v>471.11</v>
      </c>
      <c r="E22" s="35">
        <f t="shared" si="4"/>
        <v>0.54752518615856616</v>
      </c>
      <c r="F22" s="35">
        <f t="shared" si="5"/>
        <v>7.1957716881407663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x14ac:dyDescent="0.3">
      <c r="A23" s="37" t="s">
        <v>165</v>
      </c>
      <c r="B23" s="35">
        <v>328.85</v>
      </c>
      <c r="C23" s="35">
        <v>328.93</v>
      </c>
      <c r="D23" s="35">
        <v>300.97000000000003</v>
      </c>
      <c r="E23" s="35">
        <f t="shared" si="4"/>
        <v>-2.432128416380408E-2</v>
      </c>
      <c r="F23" s="35">
        <f t="shared" si="5"/>
        <v>9.2633817323985852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x14ac:dyDescent="0.3">
      <c r="A24" s="37" t="s">
        <v>166</v>
      </c>
      <c r="B24" s="35">
        <v>713.73</v>
      </c>
      <c r="C24" s="35">
        <v>713.73</v>
      </c>
      <c r="D24" s="35">
        <v>685.32</v>
      </c>
      <c r="E24" s="35">
        <f t="shared" si="4"/>
        <v>0</v>
      </c>
      <c r="F24" s="35">
        <f t="shared" si="5"/>
        <v>4.1455086674837958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x14ac:dyDescent="0.3">
      <c r="A25" s="37" t="s">
        <v>167</v>
      </c>
      <c r="B25" s="35">
        <v>442.62</v>
      </c>
      <c r="C25" s="35">
        <v>420.26</v>
      </c>
      <c r="D25" s="35">
        <v>368.21</v>
      </c>
      <c r="E25" s="35">
        <f t="shared" si="4"/>
        <v>5.3205158711274123</v>
      </c>
      <c r="F25" s="35">
        <f t="shared" si="5"/>
        <v>20.20857662746802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x14ac:dyDescent="0.3">
      <c r="A26" s="37" t="s">
        <v>168</v>
      </c>
      <c r="B26" s="35">
        <v>371.94</v>
      </c>
      <c r="C26" s="35">
        <v>368.99</v>
      </c>
      <c r="D26" s="35">
        <v>340.39</v>
      </c>
      <c r="E26" s="35">
        <f t="shared" si="4"/>
        <v>0.79947966069539689</v>
      </c>
      <c r="F26" s="35">
        <f t="shared" si="5"/>
        <v>9.2687799289050901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x14ac:dyDescent="0.3">
      <c r="A27" s="72" t="s">
        <v>171</v>
      </c>
      <c r="B27" s="68"/>
      <c r="C27" s="68"/>
      <c r="D27" s="68"/>
      <c r="E27" s="68"/>
      <c r="F27" s="68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x14ac:dyDescent="0.3">
      <c r="A28" s="37" t="s">
        <v>163</v>
      </c>
      <c r="B28" s="35">
        <v>311.89999999999998</v>
      </c>
      <c r="C28" s="35">
        <v>309.12</v>
      </c>
      <c r="D28" s="35">
        <v>282.20999999999998</v>
      </c>
      <c r="E28" s="35">
        <f t="shared" ref="E28:E33" si="6">B28/C28*100-100</f>
        <v>0.89932712215319555</v>
      </c>
      <c r="F28" s="35">
        <f t="shared" ref="F28:F33" si="7">B28/D28*100-100</f>
        <v>10.520534353849968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x14ac:dyDescent="0.3">
      <c r="A29" s="37" t="s">
        <v>164</v>
      </c>
      <c r="B29" s="35">
        <v>456.29</v>
      </c>
      <c r="C29" s="35">
        <v>452.67</v>
      </c>
      <c r="D29" s="35">
        <v>424.71</v>
      </c>
      <c r="E29" s="35">
        <f t="shared" si="6"/>
        <v>0.79969956038614498</v>
      </c>
      <c r="F29" s="35">
        <f t="shared" si="7"/>
        <v>7.4356619811165388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x14ac:dyDescent="0.3">
      <c r="A30" s="37" t="s">
        <v>165</v>
      </c>
      <c r="B30" s="35">
        <v>332.5</v>
      </c>
      <c r="C30" s="35">
        <v>332.63</v>
      </c>
      <c r="D30" s="35">
        <v>303.26</v>
      </c>
      <c r="E30" s="35">
        <f t="shared" si="6"/>
        <v>-3.9082463999037031E-2</v>
      </c>
      <c r="F30" s="35">
        <f t="shared" si="7"/>
        <v>9.641891446283708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3">
      <c r="A31" s="37" t="s">
        <v>166</v>
      </c>
      <c r="B31" s="35">
        <v>575.28</v>
      </c>
      <c r="C31" s="35">
        <v>575.28</v>
      </c>
      <c r="D31" s="35">
        <v>557.59</v>
      </c>
      <c r="E31" s="35">
        <f t="shared" si="6"/>
        <v>0</v>
      </c>
      <c r="F31" s="35">
        <f t="shared" si="7"/>
        <v>3.172582004698782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3">
      <c r="A32" s="37" t="s">
        <v>167</v>
      </c>
      <c r="B32" s="35">
        <v>442.77</v>
      </c>
      <c r="C32" s="35">
        <v>420.21</v>
      </c>
      <c r="D32" s="35">
        <v>368.17</v>
      </c>
      <c r="E32" s="35">
        <f t="shared" si="6"/>
        <v>5.3687441993289156</v>
      </c>
      <c r="F32" s="35">
        <f t="shared" si="7"/>
        <v>20.26237879240567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3">
      <c r="A33" s="37" t="s">
        <v>168</v>
      </c>
      <c r="B33" s="35">
        <v>358.68</v>
      </c>
      <c r="C33" s="35">
        <v>355.62</v>
      </c>
      <c r="D33" s="35">
        <v>328.38</v>
      </c>
      <c r="E33" s="35">
        <f t="shared" si="6"/>
        <v>0.86046903998651203</v>
      </c>
      <c r="F33" s="35">
        <f t="shared" si="7"/>
        <v>9.2271149278275288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x14ac:dyDescent="0.3">
      <c r="A34" s="72" t="s">
        <v>172</v>
      </c>
      <c r="B34" s="68"/>
      <c r="C34" s="68"/>
      <c r="D34" s="68"/>
      <c r="E34" s="68"/>
      <c r="F34" s="68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x14ac:dyDescent="0.3">
      <c r="A35" s="37" t="s">
        <v>163</v>
      </c>
      <c r="B35" s="35">
        <v>314.49</v>
      </c>
      <c r="C35" s="35">
        <v>312.02</v>
      </c>
      <c r="D35" s="35">
        <v>286.24</v>
      </c>
      <c r="E35" s="35">
        <f t="shared" ref="E35:E40" si="8">B35/C35*100-100</f>
        <v>0.7916159220562804</v>
      </c>
      <c r="F35" s="35">
        <f t="shared" ref="F35:F40" si="9">B35/D35*100-100</f>
        <v>9.8693404136388949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x14ac:dyDescent="0.3">
      <c r="A36" s="37" t="s">
        <v>164</v>
      </c>
      <c r="B36" s="35">
        <v>422.14</v>
      </c>
      <c r="C36" s="35">
        <v>417.22</v>
      </c>
      <c r="D36" s="35">
        <v>389.73</v>
      </c>
      <c r="E36" s="35">
        <f t="shared" si="8"/>
        <v>1.179233977278173</v>
      </c>
      <c r="F36" s="35">
        <f t="shared" si="9"/>
        <v>8.3160136504759663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x14ac:dyDescent="0.3">
      <c r="A37" s="37" t="s">
        <v>165</v>
      </c>
      <c r="B37" s="35">
        <v>348.5</v>
      </c>
      <c r="C37" s="35">
        <v>348.94</v>
      </c>
      <c r="D37" s="35">
        <v>308.01</v>
      </c>
      <c r="E37" s="35">
        <f t="shared" si="8"/>
        <v>-0.12609617699317255</v>
      </c>
      <c r="F37" s="35">
        <f t="shared" si="9"/>
        <v>13.145677088406217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x14ac:dyDescent="0.3">
      <c r="A38" s="37" t="s">
        <v>166</v>
      </c>
      <c r="B38" s="35">
        <v>459.61</v>
      </c>
      <c r="C38" s="35">
        <v>459.61</v>
      </c>
      <c r="D38" s="35">
        <v>452.18</v>
      </c>
      <c r="E38" s="35">
        <f t="shared" si="8"/>
        <v>0</v>
      </c>
      <c r="F38" s="35">
        <f t="shared" si="9"/>
        <v>1.6431509575832735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x14ac:dyDescent="0.3">
      <c r="A39" s="37" t="s">
        <v>167</v>
      </c>
      <c r="B39" s="35">
        <v>442.96</v>
      </c>
      <c r="C39" s="35">
        <v>420.14</v>
      </c>
      <c r="D39" s="35">
        <v>368.12</v>
      </c>
      <c r="E39" s="35">
        <f t="shared" si="8"/>
        <v>5.4315228257247696</v>
      </c>
      <c r="F39" s="35">
        <f t="shared" si="9"/>
        <v>20.330327067260683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3">
      <c r="A40" s="37" t="s">
        <v>168</v>
      </c>
      <c r="B40" s="35">
        <v>358.89</v>
      </c>
      <c r="C40" s="35">
        <v>355.4</v>
      </c>
      <c r="D40" s="35">
        <v>328.92</v>
      </c>
      <c r="E40" s="35">
        <f t="shared" si="8"/>
        <v>0.9819921215531906</v>
      </c>
      <c r="F40" s="35">
        <f t="shared" si="9"/>
        <v>9.1116380882889416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3">
      <c r="A41" s="72" t="s">
        <v>173</v>
      </c>
      <c r="B41" s="68"/>
      <c r="C41" s="68"/>
      <c r="D41" s="68"/>
      <c r="E41" s="68"/>
      <c r="F41" s="68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3">
      <c r="A42" s="37" t="s">
        <v>163</v>
      </c>
      <c r="B42" s="35">
        <v>313.7</v>
      </c>
      <c r="C42" s="35">
        <v>310.93</v>
      </c>
      <c r="D42" s="35">
        <v>284.36</v>
      </c>
      <c r="E42" s="35">
        <f t="shared" ref="E42:E47" si="10">B42/C42*100-100</f>
        <v>0.89087575981731959</v>
      </c>
      <c r="F42" s="35">
        <f t="shared" ref="F42:F47" si="11">B42/D42*100-100</f>
        <v>10.31790687860456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3">
      <c r="A43" s="37" t="s">
        <v>164</v>
      </c>
      <c r="B43" s="35">
        <v>442.71</v>
      </c>
      <c r="C43" s="35">
        <v>438.59</v>
      </c>
      <c r="D43" s="35">
        <v>406.68</v>
      </c>
      <c r="E43" s="35">
        <f t="shared" si="10"/>
        <v>0.93937390273374888</v>
      </c>
      <c r="F43" s="35">
        <f t="shared" si="11"/>
        <v>8.8595455886692207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3">
      <c r="A44" s="37" t="s">
        <v>165</v>
      </c>
      <c r="B44" s="35">
        <v>338.2</v>
      </c>
      <c r="C44" s="35">
        <v>338.47</v>
      </c>
      <c r="D44" s="35">
        <v>303.99</v>
      </c>
      <c r="E44" s="35">
        <f t="shared" si="10"/>
        <v>-7.9770733004409067E-2</v>
      </c>
      <c r="F44" s="35">
        <f t="shared" si="11"/>
        <v>11.253659659857234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3">
      <c r="A45" s="37" t="s">
        <v>166</v>
      </c>
      <c r="B45" s="35">
        <v>526.27</v>
      </c>
      <c r="C45" s="35">
        <v>526.27</v>
      </c>
      <c r="D45" s="35">
        <v>504.68</v>
      </c>
      <c r="E45" s="35">
        <f t="shared" si="10"/>
        <v>0</v>
      </c>
      <c r="F45" s="35">
        <f t="shared" si="11"/>
        <v>4.277958310216377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3">
      <c r="A46" s="37" t="s">
        <v>167</v>
      </c>
      <c r="B46" s="35">
        <v>442.9</v>
      </c>
      <c r="C46" s="35">
        <v>420.17</v>
      </c>
      <c r="D46" s="35">
        <v>368.14</v>
      </c>
      <c r="E46" s="35">
        <f t="shared" si="10"/>
        <v>5.4097151153104477</v>
      </c>
      <c r="F46" s="35">
        <f t="shared" si="11"/>
        <v>20.30749171510837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3">
      <c r="A47" s="37" t="s">
        <v>168</v>
      </c>
      <c r="B47" s="35">
        <v>360.88</v>
      </c>
      <c r="C47" s="35">
        <v>357.61</v>
      </c>
      <c r="D47" s="35">
        <v>329.09</v>
      </c>
      <c r="E47" s="35">
        <f t="shared" si="10"/>
        <v>0.91440395962081311</v>
      </c>
      <c r="F47" s="35">
        <f t="shared" si="11"/>
        <v>9.6599714363851916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3">
      <c r="A48" s="72" t="s">
        <v>168</v>
      </c>
      <c r="B48" s="68"/>
      <c r="C48" s="68"/>
      <c r="D48" s="68"/>
      <c r="E48" s="68"/>
      <c r="F48" s="68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3">
      <c r="A49" s="37" t="s">
        <v>162</v>
      </c>
      <c r="B49" s="35">
        <v>349.8</v>
      </c>
      <c r="C49" s="35">
        <v>346.78</v>
      </c>
      <c r="D49" s="35">
        <v>317.33999999999997</v>
      </c>
      <c r="E49" s="35">
        <f t="shared" ref="E49:E54" si="12">B49/C49*100-100</f>
        <v>0.87086913893534756</v>
      </c>
      <c r="F49" s="35">
        <f t="shared" ref="F49:F54" si="13">B49/D49*100-100</f>
        <v>10.228776706371718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3">
      <c r="A50" s="37" t="s">
        <v>169</v>
      </c>
      <c r="B50" s="35">
        <v>351.58</v>
      </c>
      <c r="C50" s="35">
        <v>348.49</v>
      </c>
      <c r="D50" s="35">
        <v>317.42</v>
      </c>
      <c r="E50" s="35">
        <f t="shared" si="12"/>
        <v>0.88668254469281749</v>
      </c>
      <c r="F50" s="35">
        <f t="shared" si="13"/>
        <v>10.761766744376516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3">
      <c r="A51" s="37" t="s">
        <v>170</v>
      </c>
      <c r="B51" s="35">
        <v>371.94</v>
      </c>
      <c r="C51" s="35">
        <v>368.99</v>
      </c>
      <c r="D51" s="35">
        <v>340.39</v>
      </c>
      <c r="E51" s="35">
        <f t="shared" si="12"/>
        <v>0.79947966069539689</v>
      </c>
      <c r="F51" s="35">
        <f t="shared" si="13"/>
        <v>9.2687799289050901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3">
      <c r="A52" s="37" t="s">
        <v>171</v>
      </c>
      <c r="B52" s="35">
        <v>358.68</v>
      </c>
      <c r="C52" s="35">
        <v>355.62</v>
      </c>
      <c r="D52" s="35">
        <v>328.38</v>
      </c>
      <c r="E52" s="35">
        <f t="shared" si="12"/>
        <v>0.86046903998651203</v>
      </c>
      <c r="F52" s="35">
        <f t="shared" si="13"/>
        <v>9.2271149278275288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3">
      <c r="A53" s="37" t="s">
        <v>172</v>
      </c>
      <c r="B53" s="35">
        <v>358.89</v>
      </c>
      <c r="C53" s="35">
        <v>355.4</v>
      </c>
      <c r="D53" s="35">
        <v>328.92</v>
      </c>
      <c r="E53" s="35">
        <f t="shared" si="12"/>
        <v>0.9819921215531906</v>
      </c>
      <c r="F53" s="35">
        <f t="shared" si="13"/>
        <v>9.1116380882889416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3">
      <c r="A54" s="37" t="s">
        <v>174</v>
      </c>
      <c r="B54" s="35">
        <v>360.88</v>
      </c>
      <c r="C54" s="35">
        <v>357.61</v>
      </c>
      <c r="D54" s="35">
        <v>329.09</v>
      </c>
      <c r="E54" s="35">
        <f t="shared" si="12"/>
        <v>0.91440395962081311</v>
      </c>
      <c r="F54" s="35">
        <f t="shared" si="13"/>
        <v>9.6599714363851916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6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6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6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</sheetData>
  <mergeCells count="12">
    <mergeCell ref="A48:F48"/>
    <mergeCell ref="A1:F1"/>
    <mergeCell ref="A3:F3"/>
    <mergeCell ref="A4:F4"/>
    <mergeCell ref="B5:D5"/>
    <mergeCell ref="E5:F5"/>
    <mergeCell ref="A6:F6"/>
    <mergeCell ref="A13:F13"/>
    <mergeCell ref="A20:F20"/>
    <mergeCell ref="A27:F27"/>
    <mergeCell ref="A34:F34"/>
    <mergeCell ref="A41:F41"/>
  </mergeCells>
  <printOptions horizontalCentered="1"/>
  <pageMargins left="0.4861111111111111" right="0.4861111111111111" top="0.4861111111111111" bottom="0.4861111111111111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07A1-052A-4971-8B0B-39753ACEBFA1}">
  <sheetPr>
    <pageSetUpPr fitToPage="1"/>
  </sheetPr>
  <dimension ref="A1:Y179"/>
  <sheetViews>
    <sheetView topLeftCell="A10" workbookViewId="0">
      <selection activeCell="M26" sqref="M26"/>
    </sheetView>
  </sheetViews>
  <sheetFormatPr defaultRowHeight="14.4" x14ac:dyDescent="0.3"/>
  <cols>
    <col min="1" max="1" width="6.6640625" customWidth="1"/>
    <col min="2" max="2" width="14.44140625" customWidth="1"/>
    <col min="3" max="3" width="14.33203125" customWidth="1"/>
    <col min="4" max="4" width="11" customWidth="1"/>
    <col min="5" max="8" width="10.109375" customWidth="1"/>
    <col min="9" max="9" width="6.6640625" customWidth="1"/>
  </cols>
  <sheetData>
    <row r="1" spans="1:25" ht="12" customHeight="1" x14ac:dyDescent="0.3">
      <c r="A1" s="76" t="s">
        <v>175</v>
      </c>
      <c r="B1" s="77"/>
      <c r="C1" s="77"/>
      <c r="D1" s="77"/>
      <c r="E1" s="77"/>
      <c r="F1" s="77"/>
      <c r="G1" s="77"/>
      <c r="H1" s="7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idden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6" x14ac:dyDescent="0.3">
      <c r="A3" s="78" t="s">
        <v>176</v>
      </c>
      <c r="B3" s="79"/>
      <c r="C3" s="79"/>
      <c r="D3" s="79"/>
      <c r="E3" s="79"/>
      <c r="F3" s="79"/>
      <c r="G3" s="79"/>
      <c r="H3" s="7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idden="1" x14ac:dyDescent="0.3">
      <c r="A4" s="3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80"/>
      <c r="B5" s="79"/>
      <c r="C5" s="79"/>
      <c r="D5" s="79"/>
      <c r="E5" s="79"/>
      <c r="F5" s="79"/>
      <c r="G5" s="79"/>
      <c r="H5" s="7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idden="1" x14ac:dyDescent="0.3">
      <c r="A6" s="38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7.399999999999999" x14ac:dyDescent="0.3">
      <c r="A7" s="81" t="s">
        <v>177</v>
      </c>
      <c r="B7" s="82"/>
      <c r="C7" s="82"/>
      <c r="D7" s="82"/>
      <c r="E7" s="82"/>
      <c r="F7" s="82"/>
      <c r="G7" s="82"/>
      <c r="H7" s="8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" customHeight="1" x14ac:dyDescent="0.3">
      <c r="A8" s="39"/>
      <c r="B8" s="39"/>
      <c r="C8" s="39"/>
      <c r="D8" s="39"/>
      <c r="E8" s="39"/>
      <c r="F8" s="39"/>
      <c r="G8" s="39"/>
      <c r="H8" s="3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3">
      <c r="A9" s="39" t="s">
        <v>178</v>
      </c>
      <c r="B9" s="39"/>
      <c r="C9" s="39"/>
      <c r="D9" s="39"/>
      <c r="E9" s="39"/>
      <c r="F9" s="39"/>
      <c r="G9" s="39"/>
      <c r="H9" s="3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3">
      <c r="A10" s="39"/>
      <c r="B10" s="39"/>
      <c r="C10" s="39"/>
      <c r="D10" s="39"/>
      <c r="E10" s="39"/>
      <c r="F10" s="39"/>
      <c r="G10" s="39"/>
      <c r="H10" s="3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idden="1" x14ac:dyDescent="0.3">
      <c r="A11" s="39"/>
      <c r="B11" s="39"/>
      <c r="C11" s="39"/>
      <c r="D11" s="39"/>
      <c r="E11" s="39"/>
      <c r="F11" s="39"/>
      <c r="G11" s="39"/>
      <c r="H11" s="3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39"/>
      <c r="B12" s="39" t="s">
        <v>179</v>
      </c>
      <c r="C12" s="39"/>
      <c r="D12" s="39"/>
      <c r="E12" s="39"/>
      <c r="F12" s="39"/>
      <c r="G12" s="39"/>
      <c r="H12" s="3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39" t="s">
        <v>180</v>
      </c>
      <c r="B13" s="39"/>
      <c r="C13" s="39"/>
      <c r="D13" s="39"/>
      <c r="E13" s="39"/>
      <c r="F13" s="39"/>
      <c r="G13" s="39"/>
      <c r="H13" s="3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39"/>
      <c r="B14" s="39"/>
      <c r="C14" s="39"/>
      <c r="D14" s="39"/>
      <c r="E14" s="39"/>
      <c r="F14" s="39"/>
      <c r="G14" s="39"/>
      <c r="H14" s="3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idden="1" x14ac:dyDescent="0.3">
      <c r="A15" s="39"/>
      <c r="B15" s="39"/>
      <c r="C15" s="39"/>
      <c r="D15" s="39"/>
      <c r="E15" s="39"/>
      <c r="F15" s="39"/>
      <c r="G15" s="39"/>
      <c r="H15" s="3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">
      <c r="A16" s="40" t="s">
        <v>181</v>
      </c>
      <c r="B16" s="39" t="s">
        <v>182</v>
      </c>
      <c r="C16" s="39"/>
      <c r="D16" s="39"/>
      <c r="E16" s="39"/>
      <c r="F16" s="39"/>
      <c r="G16" s="39"/>
      <c r="H16" s="3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3">
      <c r="A17" s="40" t="s">
        <v>183</v>
      </c>
      <c r="B17" s="39"/>
      <c r="C17" s="39"/>
      <c r="D17" s="39"/>
      <c r="E17" s="39"/>
      <c r="F17" s="39"/>
      <c r="G17" s="39"/>
      <c r="H17" s="3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9.9" customHeight="1" x14ac:dyDescent="0.3">
      <c r="A18" s="40"/>
      <c r="B18" s="39"/>
      <c r="C18" s="39"/>
      <c r="D18" s="39"/>
      <c r="E18" s="39"/>
      <c r="F18" s="39"/>
      <c r="G18" s="39"/>
      <c r="H18" s="3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3">
      <c r="A19" s="40"/>
      <c r="B19" s="83" t="s">
        <v>184</v>
      </c>
      <c r="C19" s="83"/>
      <c r="D19" s="83"/>
      <c r="E19" s="83"/>
      <c r="F19" s="83"/>
      <c r="G19" s="83"/>
      <c r="H19" s="8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0" customHeight="1" x14ac:dyDescent="0.3">
      <c r="A20" s="40"/>
      <c r="B20" s="62" t="s">
        <v>185</v>
      </c>
      <c r="C20" s="62"/>
      <c r="D20" s="62" t="s">
        <v>186</v>
      </c>
      <c r="E20" s="62"/>
      <c r="F20" s="62"/>
      <c r="G20" s="62" t="s">
        <v>187</v>
      </c>
      <c r="H20" s="6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6.25" customHeight="1" x14ac:dyDescent="0.3">
      <c r="A21" s="41"/>
      <c r="B21" s="85" t="s">
        <v>188</v>
      </c>
      <c r="C21" s="85"/>
      <c r="D21" s="22">
        <v>349.8</v>
      </c>
      <c r="E21" s="22">
        <v>346.78</v>
      </c>
      <c r="F21" s="22">
        <v>317.33999999999997</v>
      </c>
      <c r="G21" s="22">
        <f t="shared" ref="G21:G26" si="0">D21/E21*100-100</f>
        <v>0.87086913893534756</v>
      </c>
      <c r="H21" s="22">
        <f t="shared" ref="H21:H26" si="1">D21/F21*100-100</f>
        <v>10.228776706371718</v>
      </c>
      <c r="I21" s="3"/>
      <c r="J21" s="3"/>
      <c r="K21" s="3"/>
      <c r="L21" s="3"/>
      <c r="M21" s="51"/>
      <c r="N21" s="51"/>
      <c r="O21" s="51"/>
      <c r="P21" s="51"/>
      <c r="Q21" s="51"/>
      <c r="R21" s="51"/>
      <c r="S21" s="3"/>
      <c r="T21" s="3"/>
      <c r="U21" s="3"/>
      <c r="V21" s="3"/>
      <c r="W21" s="3"/>
      <c r="X21" s="3"/>
      <c r="Y21" s="3"/>
    </row>
    <row r="22" spans="1:25" ht="26.25" customHeight="1" x14ac:dyDescent="0.3">
      <c r="A22" s="41"/>
      <c r="B22" s="85" t="s">
        <v>189</v>
      </c>
      <c r="C22" s="85"/>
      <c r="D22" s="22">
        <v>351.58</v>
      </c>
      <c r="E22" s="22">
        <v>348.49</v>
      </c>
      <c r="F22" s="22">
        <v>317.42</v>
      </c>
      <c r="G22" s="22">
        <f t="shared" si="0"/>
        <v>0.88668254469281749</v>
      </c>
      <c r="H22" s="22">
        <f t="shared" si="1"/>
        <v>10.761766744376516</v>
      </c>
      <c r="I22" s="3"/>
      <c r="J22" s="3"/>
      <c r="K22" s="3"/>
      <c r="L22" s="3"/>
      <c r="M22" s="51"/>
      <c r="N22" s="51"/>
      <c r="O22" s="51"/>
      <c r="P22" s="51"/>
      <c r="Q22" s="51"/>
      <c r="R22" s="51"/>
      <c r="S22" s="51"/>
      <c r="T22" s="3"/>
      <c r="U22" s="3"/>
      <c r="V22" s="3"/>
      <c r="W22" s="3"/>
      <c r="X22" s="3"/>
      <c r="Y22" s="3"/>
    </row>
    <row r="23" spans="1:25" ht="26.25" customHeight="1" x14ac:dyDescent="0.3">
      <c r="A23" s="41"/>
      <c r="B23" s="85" t="s">
        <v>190</v>
      </c>
      <c r="C23" s="85"/>
      <c r="D23" s="22">
        <v>371.94</v>
      </c>
      <c r="E23" s="22">
        <v>368.99</v>
      </c>
      <c r="F23" s="22">
        <v>340.39</v>
      </c>
      <c r="G23" s="22">
        <f t="shared" si="0"/>
        <v>0.79947966069539689</v>
      </c>
      <c r="H23" s="22">
        <f t="shared" si="1"/>
        <v>9.2687799289050901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6.25" customHeight="1" x14ac:dyDescent="0.3">
      <c r="A24" s="41"/>
      <c r="B24" s="85" t="s">
        <v>191</v>
      </c>
      <c r="C24" s="85"/>
      <c r="D24" s="22">
        <v>358.68</v>
      </c>
      <c r="E24" s="22">
        <v>355.62</v>
      </c>
      <c r="F24" s="22">
        <v>328.38</v>
      </c>
      <c r="G24" s="22">
        <f t="shared" si="0"/>
        <v>0.86046903998651203</v>
      </c>
      <c r="H24" s="22">
        <f t="shared" si="1"/>
        <v>9.2271149278275288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6.25" customHeight="1" x14ac:dyDescent="0.3">
      <c r="A25" s="41"/>
      <c r="B25" s="85" t="s">
        <v>192</v>
      </c>
      <c r="C25" s="85"/>
      <c r="D25" s="22">
        <v>358.89</v>
      </c>
      <c r="E25" s="22">
        <v>355.4</v>
      </c>
      <c r="F25" s="22">
        <v>328.92</v>
      </c>
      <c r="G25" s="22">
        <f t="shared" si="0"/>
        <v>0.9819921215531906</v>
      </c>
      <c r="H25" s="22">
        <f t="shared" si="1"/>
        <v>9.1116380882889416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6.25" customHeight="1" x14ac:dyDescent="0.3">
      <c r="A26" s="41"/>
      <c r="B26" s="85" t="s">
        <v>193</v>
      </c>
      <c r="C26" s="85"/>
      <c r="D26" s="22">
        <v>360.88</v>
      </c>
      <c r="E26" s="22">
        <v>357.61</v>
      </c>
      <c r="F26" s="22">
        <v>329.09</v>
      </c>
      <c r="G26" s="22">
        <f t="shared" si="0"/>
        <v>0.91440395962081311</v>
      </c>
      <c r="H26" s="22">
        <f t="shared" si="1"/>
        <v>9.6599714363851916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3">
      <c r="A27" s="41"/>
      <c r="B27" s="18"/>
      <c r="C27" s="18"/>
      <c r="D27" s="18"/>
      <c r="E27" s="18"/>
      <c r="F27" s="18"/>
      <c r="G27" s="18"/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idden="1" x14ac:dyDescent="0.3">
      <c r="A28" s="41"/>
      <c r="B28" s="18"/>
      <c r="C28" s="18"/>
      <c r="D28" s="18"/>
      <c r="E28" s="18"/>
      <c r="F28" s="18"/>
      <c r="G28" s="18"/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3">
      <c r="A29" s="40" t="s">
        <v>194</v>
      </c>
      <c r="B29" s="39" t="s">
        <v>195</v>
      </c>
      <c r="C29" s="39"/>
      <c r="D29" s="39"/>
      <c r="E29" s="39"/>
      <c r="F29" s="39"/>
      <c r="G29" s="39"/>
      <c r="H29" s="3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3">
      <c r="A30" s="40" t="s">
        <v>196</v>
      </c>
      <c r="B30" s="39"/>
      <c r="C30" s="39"/>
      <c r="D30" s="39"/>
      <c r="E30" s="39"/>
      <c r="F30" s="39"/>
      <c r="G30" s="39"/>
      <c r="H30" s="3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9.9" customHeight="1" x14ac:dyDescent="0.3">
      <c r="A31" s="40"/>
      <c r="B31" s="39"/>
      <c r="C31" s="39"/>
      <c r="D31" s="39"/>
      <c r="E31" s="39"/>
      <c r="F31" s="39"/>
      <c r="G31" s="39"/>
      <c r="H31" s="3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3">
      <c r="A32" s="40"/>
      <c r="B32" s="83" t="s">
        <v>184</v>
      </c>
      <c r="C32" s="83"/>
      <c r="D32" s="83"/>
      <c r="E32" s="83"/>
      <c r="F32" s="83"/>
      <c r="G32" s="83"/>
      <c r="H32" s="8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40.200000000000003" x14ac:dyDescent="0.3">
      <c r="A33" s="40"/>
      <c r="B33" s="42" t="s">
        <v>197</v>
      </c>
      <c r="C33" s="42" t="s">
        <v>198</v>
      </c>
      <c r="D33" s="84" t="s">
        <v>199</v>
      </c>
      <c r="E33" s="84"/>
      <c r="F33" s="42" t="s">
        <v>200</v>
      </c>
      <c r="G33" s="84" t="s">
        <v>199</v>
      </c>
      <c r="H33" s="8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6.25" customHeight="1" x14ac:dyDescent="0.3">
      <c r="A34" s="41"/>
      <c r="B34" s="43" t="s">
        <v>213</v>
      </c>
      <c r="C34" s="22">
        <v>335.77</v>
      </c>
      <c r="D34" s="22">
        <f>C34/334.45*100-100</f>
        <v>0.3946778292719415</v>
      </c>
      <c r="E34" s="22">
        <f>C34/300.18*100-100</f>
        <v>11.856219601572377</v>
      </c>
      <c r="F34" s="22">
        <v>358.71</v>
      </c>
      <c r="G34" s="22">
        <f>F34/357.04*100-100</f>
        <v>0.46773470759578117</v>
      </c>
      <c r="H34" s="22">
        <f>F34/312.34*100-100</f>
        <v>14.846001152590134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6.25" customHeight="1" x14ac:dyDescent="0.3">
      <c r="A35" s="41"/>
      <c r="B35" s="43" t="s">
        <v>212</v>
      </c>
      <c r="C35" s="22">
        <v>335.56</v>
      </c>
      <c r="D35" s="22">
        <f>C35/335.77*100-100</f>
        <v>-6.2542812043957952E-2</v>
      </c>
      <c r="E35" s="22">
        <f>C35/298.17*100-100</f>
        <v>12.539826273602301</v>
      </c>
      <c r="F35" s="22">
        <v>357.54</v>
      </c>
      <c r="G35" s="22">
        <f>F35/358.71*100-100</f>
        <v>-0.32616877143094314</v>
      </c>
      <c r="H35" s="22">
        <f>F35/309.8*100-100</f>
        <v>15.409941897998721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6.25" customHeight="1" x14ac:dyDescent="0.3">
      <c r="A36" s="41"/>
      <c r="B36" s="43" t="s">
        <v>211</v>
      </c>
      <c r="C36" s="22">
        <v>335.56</v>
      </c>
      <c r="D36" s="22">
        <f>C36/335.56*100-100</f>
        <v>0</v>
      </c>
      <c r="E36" s="22">
        <f>C36/298.99*100-100</f>
        <v>12.231178300277605</v>
      </c>
      <c r="F36" s="22">
        <v>357.54</v>
      </c>
      <c r="G36" s="22">
        <f>F36/357.54*100-100</f>
        <v>0</v>
      </c>
      <c r="H36" s="22">
        <f>F36/309.85*100-100</f>
        <v>15.391318379861232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6.25" customHeight="1" x14ac:dyDescent="0.3">
      <c r="A37" s="41"/>
      <c r="B37" s="43" t="s">
        <v>210</v>
      </c>
      <c r="C37" s="22">
        <v>336.62</v>
      </c>
      <c r="D37" s="22">
        <f>C37/335.56*100-100</f>
        <v>0.31588985576350126</v>
      </c>
      <c r="E37" s="22">
        <f>C37/299.44*100-100</f>
        <v>12.416510820197701</v>
      </c>
      <c r="F37" s="22">
        <v>355.55</v>
      </c>
      <c r="G37" s="22">
        <f>F37/357.54*100-100</f>
        <v>-0.55658108183700961</v>
      </c>
      <c r="H37" s="22">
        <f>F37/309.51*100-100</f>
        <v>14.875125197893453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6.25" customHeight="1" x14ac:dyDescent="0.3">
      <c r="A38" s="41"/>
      <c r="B38" s="43" t="s">
        <v>209</v>
      </c>
      <c r="C38" s="22">
        <v>337.25</v>
      </c>
      <c r="D38" s="22">
        <f>C38/336.62*100-100</f>
        <v>0.18715465510071283</v>
      </c>
      <c r="E38" s="22">
        <f>C38/299.58*100-100</f>
        <v>12.574270645570465</v>
      </c>
      <c r="F38" s="22">
        <v>356.11</v>
      </c>
      <c r="G38" s="22">
        <f>F38/355.55*100-100</f>
        <v>0.15750246097594811</v>
      </c>
      <c r="H38" s="22">
        <f>F38/310.35*100-100</f>
        <v>14.744643144836473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6.25" customHeight="1" x14ac:dyDescent="0.3">
      <c r="A39" s="41"/>
      <c r="B39" s="43" t="s">
        <v>208</v>
      </c>
      <c r="C39" s="22">
        <v>339.41</v>
      </c>
      <c r="D39" s="22">
        <f>C39/337.25*100-100</f>
        <v>0.64047442550037204</v>
      </c>
      <c r="E39" s="22">
        <f>C39/299.39*100-100</f>
        <v>13.367179932529496</v>
      </c>
      <c r="F39" s="22">
        <v>357.76</v>
      </c>
      <c r="G39" s="22">
        <f>F39/356.11*100-100</f>
        <v>0.46333997921989578</v>
      </c>
      <c r="H39" s="22">
        <f>F39/309.8*100-100</f>
        <v>15.480955455132332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6.25" customHeight="1" x14ac:dyDescent="0.3">
      <c r="A40" s="41"/>
      <c r="B40" s="43" t="s">
        <v>207</v>
      </c>
      <c r="C40" s="22">
        <v>344.22</v>
      </c>
      <c r="D40" s="22">
        <f>C40/339.41*100-100</f>
        <v>1.4171650805810003</v>
      </c>
      <c r="E40" s="22">
        <f>C40/301.6*100-100</f>
        <v>14.131299734747998</v>
      </c>
      <c r="F40" s="22">
        <v>354.24</v>
      </c>
      <c r="G40" s="22">
        <f>F40/357.76*100-100</f>
        <v>-0.98389982110911944</v>
      </c>
      <c r="H40" s="22">
        <f>F40/312.06*100-100</f>
        <v>13.516631417035185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6.25" customHeight="1" x14ac:dyDescent="0.3">
      <c r="A41" s="41"/>
      <c r="B41" s="43" t="s">
        <v>206</v>
      </c>
      <c r="C41" s="22">
        <v>342.98</v>
      </c>
      <c r="D41" s="22">
        <f>C41/344.22*100-100</f>
        <v>-0.36023473360060621</v>
      </c>
      <c r="E41" s="22">
        <f>C41/304.79*100-100</f>
        <v>12.529938646281053</v>
      </c>
      <c r="F41" s="22">
        <v>352.66</v>
      </c>
      <c r="G41" s="22">
        <f>F41/354.24*100-100</f>
        <v>-0.44602529358625986</v>
      </c>
      <c r="H41" s="22">
        <f>F41/315.03*100-100</f>
        <v>11.944894137066314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6.25" customHeight="1" x14ac:dyDescent="0.3">
      <c r="A42" s="41"/>
      <c r="B42" s="43" t="s">
        <v>205</v>
      </c>
      <c r="C42" s="22">
        <v>346.78</v>
      </c>
      <c r="D42" s="22">
        <f>C42/342.98*100-100</f>
        <v>1.1079363228176504</v>
      </c>
      <c r="E42" s="22">
        <f>C42/305.19*100-100</f>
        <v>13.627576263966716</v>
      </c>
      <c r="F42" s="22">
        <v>357.61</v>
      </c>
      <c r="G42" s="22">
        <f>F42/352.66*100-100</f>
        <v>1.4036182158452988</v>
      </c>
      <c r="H42" s="22">
        <f>F42/316.23*100-100</f>
        <v>13.08541251620656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6.25" customHeight="1" x14ac:dyDescent="0.3">
      <c r="A43" s="41"/>
      <c r="B43" s="43" t="s">
        <v>204</v>
      </c>
      <c r="C43" s="22">
        <v>349.8</v>
      </c>
      <c r="D43" s="22">
        <f>C43/346.78*100-100</f>
        <v>0.87086913893534756</v>
      </c>
      <c r="E43" s="22">
        <f>C43/317.34*100-100</f>
        <v>10.228776706371718</v>
      </c>
      <c r="F43" s="22">
        <v>360.88</v>
      </c>
      <c r="G43" s="22">
        <f>F43/357.61*100-100</f>
        <v>0.91440395962081311</v>
      </c>
      <c r="H43" s="22">
        <f>F43/329.09*100-100</f>
        <v>9.6599714363851916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3">
      <c r="A44" s="41"/>
      <c r="B44" s="18"/>
      <c r="C44" s="18"/>
      <c r="D44" s="18"/>
      <c r="E44" s="18"/>
      <c r="F44" s="18"/>
      <c r="G44" s="18"/>
      <c r="H44" s="1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idden="1" x14ac:dyDescent="0.3">
      <c r="A45" s="41"/>
      <c r="B45" s="18"/>
      <c r="C45" s="18"/>
      <c r="D45" s="18"/>
      <c r="E45" s="18"/>
      <c r="F45" s="18"/>
      <c r="G45" s="18"/>
      <c r="H45" s="1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3">
      <c r="A46" s="40" t="s">
        <v>201</v>
      </c>
      <c r="B46" s="39" t="s">
        <v>202</v>
      </c>
      <c r="C46" s="39"/>
      <c r="D46" s="39"/>
      <c r="E46" s="39"/>
      <c r="F46" s="39"/>
      <c r="G46" s="39"/>
      <c r="H46" s="3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3">
      <c r="A47" s="39" t="s">
        <v>203</v>
      </c>
      <c r="B47" s="39"/>
      <c r="C47" s="39"/>
      <c r="D47" s="39"/>
      <c r="E47" s="39"/>
      <c r="F47" s="39"/>
      <c r="G47" s="39"/>
      <c r="H47" s="3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</sheetData>
  <mergeCells count="17">
    <mergeCell ref="B32:H32"/>
    <mergeCell ref="D33:E33"/>
    <mergeCell ref="G33:H33"/>
    <mergeCell ref="B21:C21"/>
    <mergeCell ref="B22:C22"/>
    <mergeCell ref="B23:C23"/>
    <mergeCell ref="B24:C24"/>
    <mergeCell ref="B25:C25"/>
    <mergeCell ref="B26:C26"/>
    <mergeCell ref="D20:F20"/>
    <mergeCell ref="G20:H20"/>
    <mergeCell ref="B20:C20"/>
    <mergeCell ref="A1:H1"/>
    <mergeCell ref="A3:H3"/>
    <mergeCell ref="A5:H5"/>
    <mergeCell ref="A7:H7"/>
    <mergeCell ref="B19:H19"/>
  </mergeCells>
  <printOptions horizontalCentered="1"/>
  <pageMargins left="0.7" right="0.4861111111111111" top="0.4861111111111111" bottom="0.4861111111111111" header="0.3" footer="0.3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E083-7BBA-45F8-A4C1-9289D2A3F3AF}">
  <sheetPr>
    <pageSetUpPr fitToPage="1"/>
  </sheetPr>
  <dimension ref="A1:Y179"/>
  <sheetViews>
    <sheetView topLeftCell="A43" workbookViewId="0">
      <selection activeCell="C56" sqref="C56"/>
    </sheetView>
  </sheetViews>
  <sheetFormatPr defaultRowHeight="14.4" x14ac:dyDescent="0.3"/>
  <cols>
    <col min="1" max="1" width="6.6640625" customWidth="1"/>
    <col min="2" max="2" width="3.6640625" customWidth="1"/>
    <col min="3" max="3" width="37.33203125" customWidth="1"/>
    <col min="4" max="9" width="7.5546875" customWidth="1"/>
    <col min="10" max="13" width="8.44140625" customWidth="1"/>
  </cols>
  <sheetData>
    <row r="1" spans="1:25" x14ac:dyDescent="0.3">
      <c r="A1" s="39">
        <v>5</v>
      </c>
      <c r="B1" s="39" t="s">
        <v>387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">
      <c r="A2" s="39" t="s">
        <v>388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9.9" customHeight="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45.75" customHeight="1" x14ac:dyDescent="0.3">
      <c r="A4" s="39"/>
      <c r="B4" s="44" t="s">
        <v>389</v>
      </c>
      <c r="C4" s="44" t="s">
        <v>390</v>
      </c>
      <c r="D4" s="44" t="s">
        <v>391</v>
      </c>
      <c r="E4" s="89" t="s">
        <v>392</v>
      </c>
      <c r="F4" s="89"/>
      <c r="G4" s="89"/>
      <c r="H4" s="89" t="s">
        <v>393</v>
      </c>
      <c r="I4" s="89"/>
      <c r="J4" s="89" t="s">
        <v>394</v>
      </c>
      <c r="K4" s="89"/>
      <c r="L4" s="89" t="s">
        <v>395</v>
      </c>
      <c r="M4" s="9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">
      <c r="A5" s="39"/>
      <c r="B5" s="20"/>
      <c r="C5" s="20">
        <v>1</v>
      </c>
      <c r="D5" s="20">
        <v>2</v>
      </c>
      <c r="E5" s="20">
        <v>3</v>
      </c>
      <c r="F5" s="20">
        <v>4</v>
      </c>
      <c r="G5" s="20">
        <v>5</v>
      </c>
      <c r="H5" s="20">
        <v>6</v>
      </c>
      <c r="I5" s="20">
        <v>7</v>
      </c>
      <c r="J5" s="20">
        <v>8</v>
      </c>
      <c r="K5" s="20">
        <v>9</v>
      </c>
      <c r="L5" s="20">
        <v>10</v>
      </c>
      <c r="M5" s="20">
        <v>11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2.5" customHeight="1" x14ac:dyDescent="0.3">
      <c r="A6" s="18"/>
      <c r="B6" s="72" t="s">
        <v>382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2.5" customHeight="1" x14ac:dyDescent="0.3">
      <c r="A7" s="18"/>
      <c r="B7" s="21">
        <v>1</v>
      </c>
      <c r="C7" s="21" t="s">
        <v>44</v>
      </c>
      <c r="D7" s="21" t="s">
        <v>20</v>
      </c>
      <c r="E7" s="22">
        <v>350.46</v>
      </c>
      <c r="F7" s="22">
        <v>250.47</v>
      </c>
      <c r="G7" s="22">
        <v>99.27</v>
      </c>
      <c r="H7" s="22">
        <v>39.92</v>
      </c>
      <c r="I7" s="22">
        <v>253.04</v>
      </c>
      <c r="J7" s="45">
        <v>1.4395</v>
      </c>
      <c r="K7" s="45">
        <v>0.98160000000000003</v>
      </c>
      <c r="L7" s="45">
        <v>0.88341693617107198</v>
      </c>
      <c r="M7" s="45">
        <v>0.58415314711459398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2.5" customHeight="1" x14ac:dyDescent="0.3">
      <c r="A8" s="18"/>
      <c r="B8" s="21">
        <v>2</v>
      </c>
      <c r="C8" s="21" t="s">
        <v>77</v>
      </c>
      <c r="D8" s="21" t="s">
        <v>76</v>
      </c>
      <c r="E8" s="22">
        <v>376.64</v>
      </c>
      <c r="F8" s="22">
        <v>325.06</v>
      </c>
      <c r="G8" s="22">
        <v>285.51</v>
      </c>
      <c r="H8" s="22">
        <v>15.87</v>
      </c>
      <c r="I8" s="22">
        <v>31.92</v>
      </c>
      <c r="J8" s="45">
        <v>1.14E-2</v>
      </c>
      <c r="K8" s="45">
        <v>8.7400000000000005E-2</v>
      </c>
      <c r="L8" s="45">
        <v>2.1627638391653499E-3</v>
      </c>
      <c r="M8" s="45">
        <v>1.59390758188281E-2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2.5" customHeight="1" x14ac:dyDescent="0.3">
      <c r="A9" s="18"/>
      <c r="B9" s="21">
        <v>3</v>
      </c>
      <c r="C9" s="21" t="s">
        <v>31</v>
      </c>
      <c r="D9" s="21" t="s">
        <v>32</v>
      </c>
      <c r="E9" s="22">
        <v>257.33</v>
      </c>
      <c r="F9" s="22">
        <v>239.8</v>
      </c>
      <c r="G9" s="22">
        <v>284.64</v>
      </c>
      <c r="H9" s="22">
        <v>7.31</v>
      </c>
      <c r="I9" s="22">
        <v>-9.59</v>
      </c>
      <c r="J9" s="45">
        <v>1.1779999999999999</v>
      </c>
      <c r="K9" s="45">
        <v>1.4423999999999999</v>
      </c>
      <c r="L9" s="45">
        <v>6.3758277978594499E-2</v>
      </c>
      <c r="M9" s="45">
        <v>7.5724591784888301E-2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2.5" customHeight="1" x14ac:dyDescent="0.3">
      <c r="A10" s="18"/>
      <c r="B10" s="21">
        <v>4</v>
      </c>
      <c r="C10" s="21" t="s">
        <v>75</v>
      </c>
      <c r="D10" s="21" t="s">
        <v>76</v>
      </c>
      <c r="E10" s="22">
        <v>328.89</v>
      </c>
      <c r="F10" s="22">
        <v>312.52999999999997</v>
      </c>
      <c r="G10" s="22">
        <v>273.33999999999997</v>
      </c>
      <c r="H10" s="22">
        <v>5.23</v>
      </c>
      <c r="I10" s="22">
        <v>20.32</v>
      </c>
      <c r="J10" s="45">
        <v>1.4673</v>
      </c>
      <c r="K10" s="45">
        <v>6.7018000000000004</v>
      </c>
      <c r="L10" s="45">
        <v>9.3835113768587206E-2</v>
      </c>
      <c r="M10" s="45">
        <v>0.41553450292593802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2.5" customHeight="1" x14ac:dyDescent="0.3">
      <c r="A11" s="18"/>
      <c r="B11" s="21">
        <v>5</v>
      </c>
      <c r="C11" s="21" t="s">
        <v>42</v>
      </c>
      <c r="D11" s="21" t="s">
        <v>20</v>
      </c>
      <c r="E11" s="22">
        <v>56.6</v>
      </c>
      <c r="F11" s="22">
        <v>54.58</v>
      </c>
      <c r="G11" s="22">
        <v>84.09</v>
      </c>
      <c r="H11" s="22">
        <v>3.7</v>
      </c>
      <c r="I11" s="22">
        <v>-32.69</v>
      </c>
      <c r="J11" s="45">
        <v>2.2955000000000001</v>
      </c>
      <c r="K11" s="45">
        <v>1.2157</v>
      </c>
      <c r="L11" s="45">
        <v>1.7100252755000499E-2</v>
      </c>
      <c r="M11" s="45">
        <v>8.7804733458104606E-3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2.5" customHeight="1" x14ac:dyDescent="0.3">
      <c r="A12" s="18"/>
      <c r="B12" s="21">
        <v>6</v>
      </c>
      <c r="C12" s="21" t="s">
        <v>78</v>
      </c>
      <c r="D12" s="21" t="s">
        <v>23</v>
      </c>
      <c r="E12" s="22">
        <v>4495.3100000000004</v>
      </c>
      <c r="F12" s="22">
        <v>4454.62</v>
      </c>
      <c r="G12" s="22">
        <v>3060.74</v>
      </c>
      <c r="H12" s="22">
        <v>0.91</v>
      </c>
      <c r="I12" s="22">
        <v>46.87</v>
      </c>
      <c r="J12" s="45">
        <v>0.61450000000000005</v>
      </c>
      <c r="K12" s="45">
        <v>1.4370000000000001</v>
      </c>
      <c r="L12" s="45">
        <v>-5.5366754282631901E-3</v>
      </c>
      <c r="M12" s="45">
        <v>-1.2555517618690899E-2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2.5" customHeight="1" x14ac:dyDescent="0.3">
      <c r="A13" s="18"/>
      <c r="B13" s="21">
        <v>7</v>
      </c>
      <c r="C13" s="21" t="s">
        <v>53</v>
      </c>
      <c r="D13" s="21" t="s">
        <v>52</v>
      </c>
      <c r="E13" s="22">
        <v>175.48</v>
      </c>
      <c r="F13" s="22">
        <v>174.23</v>
      </c>
      <c r="G13" s="22">
        <v>167.17</v>
      </c>
      <c r="H13" s="22">
        <v>0.72</v>
      </c>
      <c r="I13" s="22">
        <v>4.97</v>
      </c>
      <c r="J13" s="45">
        <v>1.3118000000000001</v>
      </c>
      <c r="K13" s="45">
        <v>1.3013999999999999</v>
      </c>
      <c r="L13" s="45">
        <v>1.55718996419901E-3</v>
      </c>
      <c r="M13" s="45">
        <v>1.5100177091520899E-3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2.5" customHeight="1" x14ac:dyDescent="0.3">
      <c r="A14" s="18"/>
      <c r="B14" s="21">
        <v>8</v>
      </c>
      <c r="C14" s="21" t="s">
        <v>50</v>
      </c>
      <c r="D14" s="21" t="s">
        <v>23</v>
      </c>
      <c r="E14" s="22">
        <v>456.7</v>
      </c>
      <c r="F14" s="22">
        <v>454.04</v>
      </c>
      <c r="G14" s="22">
        <v>447.07</v>
      </c>
      <c r="H14" s="22">
        <v>0.59</v>
      </c>
      <c r="I14" s="22">
        <v>2.15</v>
      </c>
      <c r="J14" s="45">
        <v>3.1478000000000002</v>
      </c>
      <c r="K14" s="45">
        <v>2.3913000000000002</v>
      </c>
      <c r="L14" s="45">
        <v>1.4706794106324399E-2</v>
      </c>
      <c r="M14" s="45">
        <v>1.08497568731672E-2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2.5" customHeight="1" x14ac:dyDescent="0.3">
      <c r="A15" s="18"/>
      <c r="B15" s="21">
        <v>9</v>
      </c>
      <c r="C15" s="21" t="s">
        <v>33</v>
      </c>
      <c r="D15" s="21" t="s">
        <v>20</v>
      </c>
      <c r="E15" s="22">
        <v>551.88</v>
      </c>
      <c r="F15" s="22">
        <v>549.41999999999996</v>
      </c>
      <c r="G15" s="22">
        <v>526.51</v>
      </c>
      <c r="H15" s="22">
        <v>0.45</v>
      </c>
      <c r="I15" s="22">
        <v>4.82</v>
      </c>
      <c r="J15" s="45">
        <v>2.1600000000000001E-2</v>
      </c>
      <c r="K15" s="45">
        <v>3.4099999999999998E-2</v>
      </c>
      <c r="L15" s="45">
        <v>2.8836851188872099E-5</v>
      </c>
      <c r="M15" s="45">
        <v>5.5926581820447099E-5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2.5" customHeight="1" x14ac:dyDescent="0.3">
      <c r="A16" s="18"/>
      <c r="B16" s="21">
        <v>10</v>
      </c>
      <c r="C16" s="21" t="s">
        <v>49</v>
      </c>
      <c r="D16" s="21" t="s">
        <v>20</v>
      </c>
      <c r="E16" s="22">
        <v>370.35</v>
      </c>
      <c r="F16" s="22">
        <v>368.84</v>
      </c>
      <c r="G16" s="22">
        <v>377.25</v>
      </c>
      <c r="H16" s="22">
        <v>0.41</v>
      </c>
      <c r="I16" s="22">
        <v>-1.83</v>
      </c>
      <c r="J16" s="45">
        <v>0.68069999999999997</v>
      </c>
      <c r="K16" s="45">
        <v>0.57950000000000002</v>
      </c>
      <c r="L16" s="45">
        <v>3.7487906545534899E-4</v>
      </c>
      <c r="M16" s="45">
        <v>3.0759620001243802E-4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2.5" customHeight="1" x14ac:dyDescent="0.3">
      <c r="A17" s="18"/>
      <c r="B17" s="21">
        <v>11</v>
      </c>
      <c r="C17" s="21" t="s">
        <v>51</v>
      </c>
      <c r="D17" s="21" t="s">
        <v>52</v>
      </c>
      <c r="E17" s="22">
        <v>322.33</v>
      </c>
      <c r="F17" s="22">
        <v>321.18</v>
      </c>
      <c r="G17" s="22">
        <v>307.63</v>
      </c>
      <c r="H17" s="22">
        <v>0.36</v>
      </c>
      <c r="I17" s="22">
        <v>4.78</v>
      </c>
      <c r="J17" s="45">
        <v>0.50329999999999997</v>
      </c>
      <c r="K17" s="45">
        <v>1.0497000000000001</v>
      </c>
      <c r="L17" s="45">
        <v>3.4604221426654501E-4</v>
      </c>
      <c r="M17" s="45">
        <v>7.5500885457604604E-4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2.5" customHeight="1" x14ac:dyDescent="0.3">
      <c r="A18" s="18"/>
      <c r="B18" s="21">
        <v>12</v>
      </c>
      <c r="C18" s="21" t="s">
        <v>36</v>
      </c>
      <c r="D18" s="21" t="s">
        <v>23</v>
      </c>
      <c r="E18" s="22">
        <v>607.35</v>
      </c>
      <c r="F18" s="22">
        <v>605.66999999999996</v>
      </c>
      <c r="G18" s="22">
        <v>568.47</v>
      </c>
      <c r="H18" s="22">
        <v>0.28000000000000003</v>
      </c>
      <c r="I18" s="22">
        <v>6.84</v>
      </c>
      <c r="J18" s="45">
        <v>3.2833000000000001</v>
      </c>
      <c r="K18" s="45">
        <v>1.4648000000000001</v>
      </c>
      <c r="L18" s="45">
        <v>4.5850593390306098E-3</v>
      </c>
      <c r="M18" s="45">
        <v>1.9574303637156401E-3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2.5" customHeight="1" x14ac:dyDescent="0.3">
      <c r="A19" s="18"/>
      <c r="B19" s="21">
        <v>13</v>
      </c>
      <c r="C19" s="21" t="s">
        <v>73</v>
      </c>
      <c r="D19" s="21" t="s">
        <v>23</v>
      </c>
      <c r="E19" s="22">
        <v>141.91</v>
      </c>
      <c r="F19" s="22">
        <v>141.61000000000001</v>
      </c>
      <c r="G19" s="22">
        <v>132</v>
      </c>
      <c r="H19" s="22">
        <v>0.21</v>
      </c>
      <c r="I19" s="22">
        <v>7.51</v>
      </c>
      <c r="J19" s="45">
        <v>1.1177999999999999</v>
      </c>
      <c r="K19" s="45">
        <v>0.5917</v>
      </c>
      <c r="L19" s="45">
        <v>5.5655122794519901E-3</v>
      </c>
      <c r="M19" s="45">
        <v>2.8802189637531402E-3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2.5" customHeight="1" x14ac:dyDescent="0.3">
      <c r="A20" s="18"/>
      <c r="B20" s="21">
        <v>14</v>
      </c>
      <c r="C20" s="21" t="s">
        <v>17</v>
      </c>
      <c r="D20" s="21" t="s">
        <v>18</v>
      </c>
      <c r="E20" s="22">
        <v>2582.5</v>
      </c>
      <c r="F20" s="22">
        <v>2578.86</v>
      </c>
      <c r="G20" s="22">
        <v>1483.11</v>
      </c>
      <c r="H20" s="22">
        <v>0.14000000000000001</v>
      </c>
      <c r="I20" s="22">
        <v>74.13</v>
      </c>
      <c r="J20" s="45">
        <v>6.1372</v>
      </c>
      <c r="K20" s="45">
        <v>3.9725000000000001</v>
      </c>
      <c r="L20" s="45">
        <v>-3.3421910527901798E-2</v>
      </c>
      <c r="M20" s="45">
        <v>-2.0972468182668302E-2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2.5" customHeight="1" x14ac:dyDescent="0.3">
      <c r="A21" s="18"/>
      <c r="B21" s="21">
        <v>15</v>
      </c>
      <c r="C21" s="21" t="s">
        <v>35</v>
      </c>
      <c r="D21" s="21" t="s">
        <v>23</v>
      </c>
      <c r="E21" s="22">
        <v>1549.86</v>
      </c>
      <c r="F21" s="22">
        <v>1548.13</v>
      </c>
      <c r="G21" s="22">
        <v>1461.7</v>
      </c>
      <c r="H21" s="22">
        <v>0.11</v>
      </c>
      <c r="I21" s="22">
        <v>6.03</v>
      </c>
      <c r="J21" s="45">
        <v>3.2833000000000001</v>
      </c>
      <c r="K21" s="45">
        <v>1.4648000000000001</v>
      </c>
      <c r="L21" s="45">
        <v>2.0762532855984998E-3</v>
      </c>
      <c r="M21" s="45">
        <v>9.2278860003749995E-4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2.5" customHeight="1" x14ac:dyDescent="0.3">
      <c r="A22" s="18"/>
      <c r="B22" s="21">
        <v>16</v>
      </c>
      <c r="C22" s="21" t="s">
        <v>29</v>
      </c>
      <c r="D22" s="21" t="s">
        <v>20</v>
      </c>
      <c r="E22" s="22">
        <v>253.38</v>
      </c>
      <c r="F22" s="22">
        <v>253.16</v>
      </c>
      <c r="G22" s="22">
        <v>236.45</v>
      </c>
      <c r="H22" s="22">
        <v>0.09</v>
      </c>
      <c r="I22" s="22">
        <v>7.16</v>
      </c>
      <c r="J22" s="45">
        <v>0.73660000000000003</v>
      </c>
      <c r="K22" s="45">
        <v>1.8181</v>
      </c>
      <c r="L22" s="45">
        <v>1.44184255944276E-4</v>
      </c>
      <c r="M22" s="45">
        <v>3.6352278183281899E-4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2.5" customHeight="1" x14ac:dyDescent="0.3">
      <c r="A23" s="18"/>
      <c r="B23" s="21">
        <v>17</v>
      </c>
      <c r="C23" s="21" t="s">
        <v>27</v>
      </c>
      <c r="D23" s="21" t="s">
        <v>28</v>
      </c>
      <c r="E23" s="22">
        <v>217.48</v>
      </c>
      <c r="F23" s="22">
        <v>217.29</v>
      </c>
      <c r="G23" s="22">
        <v>201.5</v>
      </c>
      <c r="H23" s="22">
        <v>0.09</v>
      </c>
      <c r="I23" s="22">
        <v>7.93</v>
      </c>
      <c r="J23" s="45">
        <v>17.544899999999998</v>
      </c>
      <c r="K23" s="45">
        <v>18.393699999999999</v>
      </c>
      <c r="L23" s="45">
        <v>3.1720536307766399E-3</v>
      </c>
      <c r="M23" s="45">
        <v>3.2437417455864499E-3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2.5" customHeight="1" x14ac:dyDescent="0.3">
      <c r="A24" s="18"/>
      <c r="B24" s="21">
        <v>18</v>
      </c>
      <c r="C24" s="21" t="s">
        <v>54</v>
      </c>
      <c r="D24" s="21" t="s">
        <v>55</v>
      </c>
      <c r="E24" s="22">
        <v>65.34</v>
      </c>
      <c r="F24" s="22">
        <v>65.3</v>
      </c>
      <c r="G24" s="22">
        <v>61.38</v>
      </c>
      <c r="H24" s="22">
        <v>0.06</v>
      </c>
      <c r="I24" s="22">
        <v>6.45</v>
      </c>
      <c r="J24" s="45">
        <v>2.5003000000000002</v>
      </c>
      <c r="K24" s="45">
        <v>2.3563999999999998</v>
      </c>
      <c r="L24" s="45">
        <v>8.9105870173614606E-3</v>
      </c>
      <c r="M24" s="45">
        <v>8.1093543639651402E-3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2.5" customHeight="1" x14ac:dyDescent="0.3">
      <c r="A25" s="18"/>
      <c r="B25" s="21">
        <v>19</v>
      </c>
      <c r="C25" s="21" t="s">
        <v>30</v>
      </c>
      <c r="D25" s="21" t="s">
        <v>23</v>
      </c>
      <c r="E25" s="22">
        <v>1155.74</v>
      </c>
      <c r="F25" s="22">
        <v>1155.06</v>
      </c>
      <c r="G25" s="22">
        <v>1083.45</v>
      </c>
      <c r="H25" s="22">
        <v>0.06</v>
      </c>
      <c r="I25" s="22">
        <v>6.67</v>
      </c>
      <c r="J25" s="45">
        <v>8.0299999999999996E-2</v>
      </c>
      <c r="K25" s="45">
        <v>0.38169999999999998</v>
      </c>
      <c r="L25" s="45">
        <v>2.8836851188868101E-5</v>
      </c>
      <c r="M25" s="45">
        <v>1.11853163640949E-4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2.5" customHeight="1" x14ac:dyDescent="0.3">
      <c r="A26" s="18"/>
      <c r="B26" s="21">
        <v>20</v>
      </c>
      <c r="C26" s="21" t="s">
        <v>43</v>
      </c>
      <c r="D26" s="21" t="s">
        <v>20</v>
      </c>
      <c r="E26" s="22">
        <v>101.67</v>
      </c>
      <c r="F26" s="22">
        <v>101.62</v>
      </c>
      <c r="G26" s="22">
        <v>56</v>
      </c>
      <c r="H26" s="22">
        <v>0.05</v>
      </c>
      <c r="I26" s="22">
        <v>81.55</v>
      </c>
      <c r="J26" s="45">
        <v>2.6815000000000002</v>
      </c>
      <c r="K26" s="45">
        <v>1.6821999999999999</v>
      </c>
      <c r="L26" s="45">
        <v>-8.3453847340593607E-2</v>
      </c>
      <c r="M26" s="45">
        <v>-5.0781336292968202E-2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2.5" customHeight="1" x14ac:dyDescent="0.3">
      <c r="A27" s="18"/>
      <c r="B27" s="21">
        <v>21</v>
      </c>
      <c r="C27" s="21" t="s">
        <v>34</v>
      </c>
      <c r="D27" s="21" t="s">
        <v>23</v>
      </c>
      <c r="E27" s="22">
        <v>3068.28</v>
      </c>
      <c r="F27" s="22">
        <v>3066.78</v>
      </c>
      <c r="G27" s="22">
        <v>2872.88</v>
      </c>
      <c r="H27" s="22">
        <v>0.05</v>
      </c>
      <c r="I27" s="22">
        <v>6.8</v>
      </c>
      <c r="J27" s="45">
        <v>2.1480000000000001</v>
      </c>
      <c r="K27" s="45">
        <v>3.1259999999999999</v>
      </c>
      <c r="L27" s="45">
        <v>9.8045294042138804E-4</v>
      </c>
      <c r="M27" s="45">
        <v>1.3702012546008E-3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2.5" customHeight="1" x14ac:dyDescent="0.3">
      <c r="A28" s="18"/>
      <c r="B28" s="21">
        <v>22</v>
      </c>
      <c r="C28" s="21" t="s">
        <v>46</v>
      </c>
      <c r="D28" s="21" t="s">
        <v>20</v>
      </c>
      <c r="E28" s="22">
        <v>228.19</v>
      </c>
      <c r="F28" s="22">
        <v>228.09</v>
      </c>
      <c r="G28" s="22">
        <v>239.21</v>
      </c>
      <c r="H28" s="22">
        <v>0.04</v>
      </c>
      <c r="I28" s="22">
        <v>-4.6100000000000003</v>
      </c>
      <c r="J28" s="45">
        <v>0.2341</v>
      </c>
      <c r="K28" s="45">
        <v>0.1075</v>
      </c>
      <c r="L28" s="45">
        <v>2.8836851188868101E-5</v>
      </c>
      <c r="M28" s="45">
        <v>2.7963290910221601E-5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3.1" customHeight="1" x14ac:dyDescent="0.3">
      <c r="A29" s="18"/>
      <c r="B29" s="60" t="s">
        <v>383</v>
      </c>
      <c r="C29" s="60"/>
      <c r="D29" s="60"/>
      <c r="E29" s="86"/>
      <c r="F29" s="86"/>
      <c r="G29" s="86"/>
      <c r="H29" s="86"/>
      <c r="I29" s="86"/>
      <c r="J29" s="46">
        <f>SUM(J7:J28)</f>
        <v>52.418700000000001</v>
      </c>
      <c r="K29" s="46">
        <f>SUM(K7:K28)</f>
        <v>52.581300000000006</v>
      </c>
      <c r="L29" s="46">
        <f>SUM(L7:L28)</f>
        <v>0.98036642986805766</v>
      </c>
      <c r="M29" s="45">
        <f>SUM(M7:M28)</f>
        <v>1.0482878496425025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2.5" customHeight="1" x14ac:dyDescent="0.3">
      <c r="A30" s="18"/>
      <c r="B30" s="72" t="s">
        <v>384</v>
      </c>
      <c r="C30" s="68"/>
      <c r="D30" s="68"/>
      <c r="E30" s="87"/>
      <c r="F30" s="87"/>
      <c r="G30" s="87"/>
      <c r="H30" s="87"/>
      <c r="I30" s="87"/>
      <c r="J30" s="88"/>
      <c r="K30" s="88"/>
      <c r="L30" s="88"/>
      <c r="M30" s="8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2.5" customHeight="1" x14ac:dyDescent="0.3">
      <c r="A31" s="18"/>
      <c r="B31" s="21">
        <v>1</v>
      </c>
      <c r="C31" s="21" t="s">
        <v>26</v>
      </c>
      <c r="D31" s="21" t="s">
        <v>20</v>
      </c>
      <c r="E31" s="22">
        <v>365.27</v>
      </c>
      <c r="F31" s="22">
        <v>383.11</v>
      </c>
      <c r="G31" s="22">
        <v>423.39</v>
      </c>
      <c r="H31" s="22">
        <v>-4.66</v>
      </c>
      <c r="I31" s="22">
        <v>-13.73</v>
      </c>
      <c r="J31" s="45">
        <v>2.9268999999999998</v>
      </c>
      <c r="K31" s="45">
        <v>3.8681000000000001</v>
      </c>
      <c r="L31" s="45">
        <v>-0.10219780061335999</v>
      </c>
      <c r="M31" s="45">
        <v>-0.13098005462349299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2.5" customHeight="1" x14ac:dyDescent="0.3">
      <c r="A32" s="18"/>
      <c r="B32" s="21">
        <v>2</v>
      </c>
      <c r="C32" s="21" t="s">
        <v>37</v>
      </c>
      <c r="D32" s="21" t="s">
        <v>32</v>
      </c>
      <c r="E32" s="22">
        <v>187.86</v>
      </c>
      <c r="F32" s="22">
        <v>191.15</v>
      </c>
      <c r="G32" s="22">
        <v>167.64</v>
      </c>
      <c r="H32" s="22">
        <v>-1.72</v>
      </c>
      <c r="I32" s="22">
        <v>12.06</v>
      </c>
      <c r="J32" s="45">
        <v>0.71240000000000003</v>
      </c>
      <c r="K32" s="45">
        <v>0.94130000000000003</v>
      </c>
      <c r="L32" s="45">
        <v>1.06696349398825E-3</v>
      </c>
      <c r="M32" s="45">
        <v>1.37020125460105E-3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2.5" customHeight="1" x14ac:dyDescent="0.3">
      <c r="A33" s="18"/>
      <c r="B33" s="21">
        <v>3</v>
      </c>
      <c r="C33" s="21" t="s">
        <v>39</v>
      </c>
      <c r="D33" s="21" t="s">
        <v>20</v>
      </c>
      <c r="E33" s="22">
        <v>363.28</v>
      </c>
      <c r="F33" s="22">
        <v>367.24</v>
      </c>
      <c r="G33" s="22">
        <v>397.77</v>
      </c>
      <c r="H33" s="22">
        <v>-1.08</v>
      </c>
      <c r="I33" s="22">
        <v>-8.67</v>
      </c>
      <c r="J33" s="45">
        <v>0.87150000000000005</v>
      </c>
      <c r="K33" s="45">
        <v>0.48159999999999997</v>
      </c>
      <c r="L33" s="45">
        <v>-1.61486366657674E-3</v>
      </c>
      <c r="M33" s="45">
        <v>-8.6686201821699403E-4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2.5" customHeight="1" x14ac:dyDescent="0.3">
      <c r="A34" s="18"/>
      <c r="B34" s="21">
        <v>4</v>
      </c>
      <c r="C34" s="21" t="s">
        <v>40</v>
      </c>
      <c r="D34" s="21" t="s">
        <v>20</v>
      </c>
      <c r="E34" s="22">
        <v>450.33</v>
      </c>
      <c r="F34" s="22">
        <v>455.19</v>
      </c>
      <c r="G34" s="22">
        <v>455.96</v>
      </c>
      <c r="H34" s="22">
        <v>-1.07</v>
      </c>
      <c r="I34" s="22">
        <v>-1.23</v>
      </c>
      <c r="J34" s="45">
        <v>0.28549999999999998</v>
      </c>
      <c r="K34" s="45">
        <v>0.32690000000000002</v>
      </c>
      <c r="L34" s="45">
        <v>-5.7673702377742601E-4</v>
      </c>
      <c r="M34" s="45">
        <v>-5.8722910911471605E-4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2.5" customHeight="1" x14ac:dyDescent="0.3">
      <c r="A35" s="18"/>
      <c r="B35" s="21">
        <v>5</v>
      </c>
      <c r="C35" s="21" t="s">
        <v>21</v>
      </c>
      <c r="D35" s="21" t="s">
        <v>20</v>
      </c>
      <c r="E35" s="22">
        <v>154.57</v>
      </c>
      <c r="F35" s="22">
        <v>155.38</v>
      </c>
      <c r="G35" s="22">
        <v>154.41</v>
      </c>
      <c r="H35" s="22">
        <v>-0.52</v>
      </c>
      <c r="I35" s="22">
        <v>0.1</v>
      </c>
      <c r="J35" s="45">
        <v>0.59219999999999995</v>
      </c>
      <c r="K35" s="45">
        <v>0.1671</v>
      </c>
      <c r="L35" s="45">
        <v>-4.0371591664415399E-4</v>
      </c>
      <c r="M35" s="45">
        <v>-1.11853163640918E-4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2.5" customHeight="1" x14ac:dyDescent="0.3">
      <c r="A36" s="18"/>
      <c r="B36" s="21">
        <v>6</v>
      </c>
      <c r="C36" s="21" t="s">
        <v>38</v>
      </c>
      <c r="D36" s="21" t="s">
        <v>20</v>
      </c>
      <c r="E36" s="22">
        <v>256.32</v>
      </c>
      <c r="F36" s="22">
        <v>257.36</v>
      </c>
      <c r="G36" s="22">
        <v>296.5</v>
      </c>
      <c r="H36" s="22">
        <v>-0.4</v>
      </c>
      <c r="I36" s="22">
        <v>-13.55</v>
      </c>
      <c r="J36" s="45">
        <v>0.65449999999999997</v>
      </c>
      <c r="K36" s="45">
        <v>0.46079999999999999</v>
      </c>
      <c r="L36" s="45">
        <v>-6.6324757734402995E-4</v>
      </c>
      <c r="M36" s="45">
        <v>-4.4741265456357701E-4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2.5" customHeight="1" x14ac:dyDescent="0.3">
      <c r="A37" s="18"/>
      <c r="B37" s="21">
        <v>7</v>
      </c>
      <c r="C37" s="21" t="s">
        <v>45</v>
      </c>
      <c r="D37" s="21" t="s">
        <v>20</v>
      </c>
      <c r="E37" s="22">
        <v>148.22999999999999</v>
      </c>
      <c r="F37" s="22">
        <v>148.36000000000001</v>
      </c>
      <c r="G37" s="22">
        <v>180.04</v>
      </c>
      <c r="H37" s="22">
        <v>-0.09</v>
      </c>
      <c r="I37" s="22">
        <v>-17.670000000000002</v>
      </c>
      <c r="J37" s="45">
        <v>5.1147999999999998</v>
      </c>
      <c r="K37" s="45">
        <v>3.1583999999999999</v>
      </c>
      <c r="L37" s="45">
        <v>-4.4408750830860697E-3</v>
      </c>
      <c r="M37" s="45">
        <v>-2.6565126364713602E-3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2.5" customHeight="1" x14ac:dyDescent="0.3">
      <c r="A38" s="18"/>
      <c r="B38" s="21">
        <v>8</v>
      </c>
      <c r="C38" s="21" t="s">
        <v>41</v>
      </c>
      <c r="D38" s="21" t="s">
        <v>20</v>
      </c>
      <c r="E38" s="22">
        <v>245.64</v>
      </c>
      <c r="F38" s="22">
        <v>245.71</v>
      </c>
      <c r="G38" s="22">
        <v>312.85000000000002</v>
      </c>
      <c r="H38" s="22">
        <v>-0.03</v>
      </c>
      <c r="I38" s="22">
        <v>-21.48</v>
      </c>
      <c r="J38" s="45">
        <v>0.79669999999999996</v>
      </c>
      <c r="K38" s="45">
        <v>0.47110000000000002</v>
      </c>
      <c r="L38" s="45">
        <v>9.8045294042164392E-4</v>
      </c>
      <c r="M38" s="45">
        <v>5.8722910911471605E-4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3.1" customHeight="1" x14ac:dyDescent="0.3">
      <c r="A39" s="18"/>
      <c r="B39" s="60" t="s">
        <v>383</v>
      </c>
      <c r="C39" s="60"/>
      <c r="D39" s="60"/>
      <c r="E39" s="86"/>
      <c r="F39" s="86"/>
      <c r="G39" s="86"/>
      <c r="H39" s="86"/>
      <c r="I39" s="86"/>
      <c r="J39" s="46">
        <f>SUM(J31:J38)</f>
        <v>11.954499999999998</v>
      </c>
      <c r="K39" s="46">
        <f>SUM(K31:K38)</f>
        <v>9.8752999999999993</v>
      </c>
      <c r="L39" s="46">
        <f>SUM(L31:L38)</f>
        <v>-0.10784982344637853</v>
      </c>
      <c r="M39" s="45">
        <f>SUM(M31:M38)</f>
        <v>-0.1336924938417848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2.5" customHeight="1" x14ac:dyDescent="0.3">
      <c r="A40" s="18"/>
      <c r="B40" s="72" t="s">
        <v>386</v>
      </c>
      <c r="C40" s="68"/>
      <c r="D40" s="68"/>
      <c r="E40" s="87"/>
      <c r="F40" s="87"/>
      <c r="G40" s="87"/>
      <c r="H40" s="87"/>
      <c r="I40" s="87"/>
      <c r="J40" s="88"/>
      <c r="K40" s="88"/>
      <c r="L40" s="88"/>
      <c r="M40" s="8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2.5" customHeight="1" x14ac:dyDescent="0.3">
      <c r="A41" s="18"/>
      <c r="B41" s="21">
        <v>1</v>
      </c>
      <c r="C41" s="21" t="s">
        <v>19</v>
      </c>
      <c r="D41" s="21" t="s">
        <v>20</v>
      </c>
      <c r="E41" s="22">
        <v>217.51</v>
      </c>
      <c r="F41" s="22">
        <v>217.51</v>
      </c>
      <c r="G41" s="22">
        <v>207.53</v>
      </c>
      <c r="H41" s="22">
        <v>0</v>
      </c>
      <c r="I41" s="22">
        <v>4.8099999999999996</v>
      </c>
      <c r="J41" s="45">
        <v>2.9609999999999999</v>
      </c>
      <c r="K41" s="45">
        <v>1.2636000000000001</v>
      </c>
      <c r="L41" s="45">
        <v>0</v>
      </c>
      <c r="M41" s="45">
        <v>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2.5" customHeight="1" x14ac:dyDescent="0.3">
      <c r="A42" s="18"/>
      <c r="B42" s="21">
        <v>2</v>
      </c>
      <c r="C42" s="21" t="s">
        <v>22</v>
      </c>
      <c r="D42" s="21" t="s">
        <v>23</v>
      </c>
      <c r="E42" s="22">
        <v>119.38</v>
      </c>
      <c r="F42" s="22">
        <v>119.38</v>
      </c>
      <c r="G42" s="22">
        <v>108.83</v>
      </c>
      <c r="H42" s="22">
        <v>0</v>
      </c>
      <c r="I42" s="22">
        <v>9.69</v>
      </c>
      <c r="J42" s="45">
        <v>0.1041</v>
      </c>
      <c r="K42" s="45">
        <v>0.56979999999999997</v>
      </c>
      <c r="L42" s="45">
        <v>0</v>
      </c>
      <c r="M42" s="45">
        <v>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2.5" customHeight="1" x14ac:dyDescent="0.3">
      <c r="A43" s="18"/>
      <c r="B43" s="21">
        <v>3</v>
      </c>
      <c r="C43" s="21" t="s">
        <v>24</v>
      </c>
      <c r="D43" s="21" t="s">
        <v>20</v>
      </c>
      <c r="E43" s="22">
        <v>1257.5999999999999</v>
      </c>
      <c r="F43" s="22">
        <v>1257.5999999999999</v>
      </c>
      <c r="G43" s="22">
        <v>1112.08</v>
      </c>
      <c r="H43" s="22">
        <v>0</v>
      </c>
      <c r="I43" s="22">
        <v>13.09</v>
      </c>
      <c r="J43" s="45">
        <v>2.4988000000000001</v>
      </c>
      <c r="K43" s="45">
        <v>3.3532999999999999</v>
      </c>
      <c r="L43" s="45">
        <v>0</v>
      </c>
      <c r="M43" s="45">
        <v>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2.5" customHeight="1" x14ac:dyDescent="0.3">
      <c r="A44" s="18"/>
      <c r="B44" s="21">
        <v>4</v>
      </c>
      <c r="C44" s="21" t="s">
        <v>25</v>
      </c>
      <c r="D44" s="21" t="s">
        <v>20</v>
      </c>
      <c r="E44" s="22">
        <v>2373.7399999999998</v>
      </c>
      <c r="F44" s="22">
        <v>2373.7399999999998</v>
      </c>
      <c r="G44" s="22">
        <v>2046.01</v>
      </c>
      <c r="H44" s="22">
        <v>0</v>
      </c>
      <c r="I44" s="22">
        <v>16.02</v>
      </c>
      <c r="J44" s="45">
        <v>0.54979999999999996</v>
      </c>
      <c r="K44" s="45">
        <v>2.4386999999999999</v>
      </c>
      <c r="L44" s="45">
        <v>0</v>
      </c>
      <c r="M44" s="45">
        <v>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2.5" customHeight="1" x14ac:dyDescent="0.3">
      <c r="A45" s="18"/>
      <c r="B45" s="21">
        <v>5</v>
      </c>
      <c r="C45" s="21" t="s">
        <v>47</v>
      </c>
      <c r="D45" s="21" t="s">
        <v>23</v>
      </c>
      <c r="E45" s="22">
        <v>62.37</v>
      </c>
      <c r="F45" s="22">
        <v>62.37</v>
      </c>
      <c r="G45" s="22">
        <v>72.599999999999994</v>
      </c>
      <c r="H45" s="22">
        <v>0</v>
      </c>
      <c r="I45" s="22">
        <v>-14.09</v>
      </c>
      <c r="J45" s="45">
        <v>0.28439999999999999</v>
      </c>
      <c r="K45" s="45">
        <v>0.22789999999999999</v>
      </c>
      <c r="L45" s="45">
        <v>0</v>
      </c>
      <c r="M45" s="45">
        <v>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2.5" customHeight="1" x14ac:dyDescent="0.3">
      <c r="A46" s="18"/>
      <c r="B46" s="21">
        <v>6</v>
      </c>
      <c r="C46" s="21" t="s">
        <v>48</v>
      </c>
      <c r="D46" s="21" t="s">
        <v>23</v>
      </c>
      <c r="E46" s="22">
        <v>368.65</v>
      </c>
      <c r="F46" s="22">
        <v>368.65</v>
      </c>
      <c r="G46" s="22">
        <v>320</v>
      </c>
      <c r="H46" s="22">
        <v>0</v>
      </c>
      <c r="I46" s="22">
        <v>15.2</v>
      </c>
      <c r="J46" s="45">
        <v>1.3895999999999999</v>
      </c>
      <c r="K46" s="45">
        <v>0.84540000000000004</v>
      </c>
      <c r="L46" s="45">
        <v>0</v>
      </c>
      <c r="M46" s="45">
        <v>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2.5" customHeight="1" x14ac:dyDescent="0.3">
      <c r="A47" s="18"/>
      <c r="B47" s="21">
        <v>7</v>
      </c>
      <c r="C47" s="21" t="s">
        <v>56</v>
      </c>
      <c r="D47" s="21" t="s">
        <v>23</v>
      </c>
      <c r="E47" s="22">
        <v>252.06</v>
      </c>
      <c r="F47" s="22">
        <v>252.06</v>
      </c>
      <c r="G47" s="22">
        <v>242.42</v>
      </c>
      <c r="H47" s="22">
        <v>0</v>
      </c>
      <c r="I47" s="22">
        <v>3.98</v>
      </c>
      <c r="J47" s="45">
        <v>1.617</v>
      </c>
      <c r="K47" s="45">
        <v>1.0931</v>
      </c>
      <c r="L47" s="45">
        <v>0</v>
      </c>
      <c r="M47" s="45">
        <v>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2.5" customHeight="1" x14ac:dyDescent="0.3">
      <c r="A48" s="18"/>
      <c r="B48" s="21">
        <v>8</v>
      </c>
      <c r="C48" s="21" t="s">
        <v>57</v>
      </c>
      <c r="D48" s="21" t="s">
        <v>58</v>
      </c>
      <c r="E48" s="22">
        <v>688.69</v>
      </c>
      <c r="F48" s="22">
        <v>688.69</v>
      </c>
      <c r="G48" s="22">
        <v>656.91</v>
      </c>
      <c r="H48" s="22">
        <v>0</v>
      </c>
      <c r="I48" s="22">
        <v>4.84</v>
      </c>
      <c r="J48" s="45">
        <v>4.2221000000000002</v>
      </c>
      <c r="K48" s="45">
        <v>3.9577</v>
      </c>
      <c r="L48" s="45">
        <v>0</v>
      </c>
      <c r="M48" s="45">
        <v>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2.5" customHeight="1" x14ac:dyDescent="0.3">
      <c r="A49" s="18"/>
      <c r="B49" s="21">
        <v>9</v>
      </c>
      <c r="C49" s="21" t="s">
        <v>59</v>
      </c>
      <c r="D49" s="21" t="s">
        <v>58</v>
      </c>
      <c r="E49" s="22">
        <v>544.66999999999996</v>
      </c>
      <c r="F49" s="22">
        <v>544.66999999999996</v>
      </c>
      <c r="G49" s="22">
        <v>499.58</v>
      </c>
      <c r="H49" s="22">
        <v>0</v>
      </c>
      <c r="I49" s="22">
        <v>9.0299999999999994</v>
      </c>
      <c r="J49" s="45">
        <v>3.1699999999999999E-2</v>
      </c>
      <c r="K49" s="45">
        <v>0.10100000000000001</v>
      </c>
      <c r="L49" s="45">
        <v>0</v>
      </c>
      <c r="M49" s="45">
        <v>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2.5" customHeight="1" x14ac:dyDescent="0.3">
      <c r="A50" s="18"/>
      <c r="B50" s="21">
        <v>10</v>
      </c>
      <c r="C50" s="21" t="s">
        <v>60</v>
      </c>
      <c r="D50" s="21" t="s">
        <v>58</v>
      </c>
      <c r="E50" s="22">
        <v>680.92</v>
      </c>
      <c r="F50" s="22">
        <v>680.92</v>
      </c>
      <c r="G50" s="22">
        <v>656.59</v>
      </c>
      <c r="H50" s="22">
        <v>0</v>
      </c>
      <c r="I50" s="22">
        <v>3.71</v>
      </c>
      <c r="J50" s="45">
        <v>2.3441999999999998</v>
      </c>
      <c r="K50" s="45">
        <v>2.1473</v>
      </c>
      <c r="L50" s="45">
        <v>0</v>
      </c>
      <c r="M50" s="45">
        <v>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2.5" customHeight="1" x14ac:dyDescent="0.3">
      <c r="A51" s="18"/>
      <c r="B51" s="21">
        <v>11</v>
      </c>
      <c r="C51" s="21" t="s">
        <v>61</v>
      </c>
      <c r="D51" s="21" t="s">
        <v>58</v>
      </c>
      <c r="E51" s="22">
        <v>318.06</v>
      </c>
      <c r="F51" s="22">
        <v>318.06</v>
      </c>
      <c r="G51" s="22">
        <v>301.89999999999998</v>
      </c>
      <c r="H51" s="22">
        <v>0</v>
      </c>
      <c r="I51" s="22">
        <v>5.35</v>
      </c>
      <c r="J51" s="45">
        <v>0.75839999999999996</v>
      </c>
      <c r="K51" s="45">
        <v>0.90239999999999998</v>
      </c>
      <c r="L51" s="45">
        <v>0</v>
      </c>
      <c r="M51" s="45"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22.5" customHeight="1" x14ac:dyDescent="0.3">
      <c r="A52" s="18"/>
      <c r="B52" s="21">
        <v>12</v>
      </c>
      <c r="C52" s="21" t="s">
        <v>62</v>
      </c>
      <c r="D52" s="21" t="s">
        <v>63</v>
      </c>
      <c r="E52" s="22">
        <v>2499</v>
      </c>
      <c r="F52" s="22">
        <v>2499</v>
      </c>
      <c r="G52" s="22">
        <v>2499</v>
      </c>
      <c r="H52" s="22">
        <v>0</v>
      </c>
      <c r="I52" s="22">
        <v>0</v>
      </c>
      <c r="J52" s="45">
        <v>0.63500000000000001</v>
      </c>
      <c r="K52" s="45">
        <v>0.51219999999999999</v>
      </c>
      <c r="L52" s="45">
        <v>0</v>
      </c>
      <c r="M52" s="45">
        <v>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22.5" customHeight="1" x14ac:dyDescent="0.3">
      <c r="A53" s="18"/>
      <c r="B53" s="21">
        <v>13</v>
      </c>
      <c r="C53" s="21" t="s">
        <v>64</v>
      </c>
      <c r="D53" s="21" t="s">
        <v>63</v>
      </c>
      <c r="E53" s="22">
        <v>699</v>
      </c>
      <c r="F53" s="22">
        <v>699</v>
      </c>
      <c r="G53" s="22">
        <v>599</v>
      </c>
      <c r="H53" s="22">
        <v>0</v>
      </c>
      <c r="I53" s="22">
        <v>16.690000000000001</v>
      </c>
      <c r="J53" s="45">
        <v>0.21099999999999999</v>
      </c>
      <c r="K53" s="45">
        <v>0.16400000000000001</v>
      </c>
      <c r="L53" s="45">
        <v>0</v>
      </c>
      <c r="M53" s="45">
        <v>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22.5" customHeight="1" x14ac:dyDescent="0.3">
      <c r="A54" s="18"/>
      <c r="B54" s="21">
        <v>14</v>
      </c>
      <c r="C54" s="21" t="s">
        <v>65</v>
      </c>
      <c r="D54" s="21" t="s">
        <v>63</v>
      </c>
      <c r="E54" s="22">
        <v>1499</v>
      </c>
      <c r="F54" s="22">
        <v>1499</v>
      </c>
      <c r="G54" s="22">
        <v>1399</v>
      </c>
      <c r="H54" s="22">
        <v>0</v>
      </c>
      <c r="I54" s="22">
        <v>7.15</v>
      </c>
      <c r="J54" s="45">
        <v>0.9919</v>
      </c>
      <c r="K54" s="45">
        <v>1.0147999999999999</v>
      </c>
      <c r="L54" s="45">
        <v>0</v>
      </c>
      <c r="M54" s="45">
        <v>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22.5" customHeight="1" x14ac:dyDescent="0.3">
      <c r="A55" s="18"/>
      <c r="B55" s="21">
        <v>15</v>
      </c>
      <c r="C55" s="21" t="s">
        <v>385</v>
      </c>
      <c r="D55" s="21" t="s">
        <v>67</v>
      </c>
      <c r="E55" s="22">
        <v>6.95</v>
      </c>
      <c r="F55" s="22">
        <v>6.95</v>
      </c>
      <c r="G55" s="22">
        <v>5.66</v>
      </c>
      <c r="H55" s="22">
        <v>0</v>
      </c>
      <c r="I55" s="22">
        <v>22.79</v>
      </c>
      <c r="J55" s="45">
        <v>8.3627000000000002</v>
      </c>
      <c r="K55" s="45">
        <v>12.9291</v>
      </c>
      <c r="L55" s="45">
        <v>0</v>
      </c>
      <c r="M55" s="45">
        <v>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22.5" customHeight="1" x14ac:dyDescent="0.3">
      <c r="A56" s="18"/>
      <c r="B56" s="21">
        <v>16</v>
      </c>
      <c r="C56" s="21" t="s">
        <v>404</v>
      </c>
      <c r="D56" s="21" t="s">
        <v>69</v>
      </c>
      <c r="E56" s="22">
        <v>2566.5</v>
      </c>
      <c r="F56" s="22">
        <v>2566.5</v>
      </c>
      <c r="G56" s="22">
        <v>2566.5</v>
      </c>
      <c r="H56" s="22">
        <v>0</v>
      </c>
      <c r="I56" s="22">
        <v>0</v>
      </c>
      <c r="J56" s="45">
        <v>2.0674000000000001</v>
      </c>
      <c r="K56" s="45">
        <v>3.0667</v>
      </c>
      <c r="L56" s="45">
        <v>0</v>
      </c>
      <c r="M56" s="45">
        <v>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22.5" customHeight="1" x14ac:dyDescent="0.3">
      <c r="A57" s="18"/>
      <c r="B57" s="21">
        <v>17</v>
      </c>
      <c r="C57" s="21" t="s">
        <v>70</v>
      </c>
      <c r="D57" s="21" t="s">
        <v>71</v>
      </c>
      <c r="E57" s="22">
        <v>1494.16</v>
      </c>
      <c r="F57" s="22">
        <v>1494.16</v>
      </c>
      <c r="G57" s="22">
        <v>1324.06</v>
      </c>
      <c r="H57" s="22">
        <v>0</v>
      </c>
      <c r="I57" s="22">
        <v>12.85</v>
      </c>
      <c r="J57" s="45">
        <v>5.0812999999999997</v>
      </c>
      <c r="K57" s="45">
        <v>1.1969000000000001</v>
      </c>
      <c r="L57" s="45">
        <v>0</v>
      </c>
      <c r="M57" s="45">
        <v>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22.5" customHeight="1" x14ac:dyDescent="0.3">
      <c r="A58" s="18"/>
      <c r="B58" s="21">
        <v>18</v>
      </c>
      <c r="C58" s="21" t="s">
        <v>72</v>
      </c>
      <c r="D58" s="21" t="s">
        <v>23</v>
      </c>
      <c r="E58" s="22">
        <v>402.11</v>
      </c>
      <c r="F58" s="22">
        <v>402.11</v>
      </c>
      <c r="G58" s="22">
        <v>385.64</v>
      </c>
      <c r="H58" s="22">
        <v>0</v>
      </c>
      <c r="I58" s="22">
        <v>4.2699999999999996</v>
      </c>
      <c r="J58" s="45">
        <v>0.2495</v>
      </c>
      <c r="K58" s="45">
        <v>0.33739999999999998</v>
      </c>
      <c r="L58" s="45">
        <v>0</v>
      </c>
      <c r="M58" s="45">
        <v>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2.5" customHeight="1" x14ac:dyDescent="0.3">
      <c r="A59" s="18"/>
      <c r="B59" s="21">
        <v>19</v>
      </c>
      <c r="C59" s="21" t="s">
        <v>74</v>
      </c>
      <c r="D59" s="21" t="s">
        <v>23</v>
      </c>
      <c r="E59" s="22">
        <v>6.31</v>
      </c>
      <c r="F59" s="22">
        <v>6.31</v>
      </c>
      <c r="G59" s="22">
        <v>6.24</v>
      </c>
      <c r="H59" s="22">
        <v>0</v>
      </c>
      <c r="I59" s="22">
        <v>1.1200000000000001</v>
      </c>
      <c r="J59" s="45">
        <v>0.34949999999999998</v>
      </c>
      <c r="K59" s="45">
        <v>0.19689999999999999</v>
      </c>
      <c r="L59" s="45">
        <v>0</v>
      </c>
      <c r="M59" s="45">
        <v>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22.5" customHeight="1" x14ac:dyDescent="0.3">
      <c r="A60" s="18"/>
      <c r="B60" s="21">
        <v>20</v>
      </c>
      <c r="C60" s="21" t="s">
        <v>79</v>
      </c>
      <c r="D60" s="21" t="s">
        <v>80</v>
      </c>
      <c r="E60" s="22">
        <v>1.79</v>
      </c>
      <c r="F60" s="22">
        <v>1.79</v>
      </c>
      <c r="G60" s="22">
        <v>1.79</v>
      </c>
      <c r="H60" s="22">
        <v>0</v>
      </c>
      <c r="I60" s="22">
        <v>0</v>
      </c>
      <c r="J60" s="45">
        <v>6.4500000000000002E-2</v>
      </c>
      <c r="K60" s="45">
        <v>0.54679999999999995</v>
      </c>
      <c r="L60" s="45">
        <v>0</v>
      </c>
      <c r="M60" s="45">
        <v>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22.5" customHeight="1" x14ac:dyDescent="0.3">
      <c r="A61" s="18"/>
      <c r="B61" s="21">
        <v>21</v>
      </c>
      <c r="C61" s="21" t="s">
        <v>81</v>
      </c>
      <c r="D61" s="21" t="s">
        <v>23</v>
      </c>
      <c r="E61" s="22">
        <v>116.34</v>
      </c>
      <c r="F61" s="22">
        <v>116.34</v>
      </c>
      <c r="G61" s="22">
        <v>110.48</v>
      </c>
      <c r="H61" s="22">
        <v>0</v>
      </c>
      <c r="I61" s="22">
        <v>5.3</v>
      </c>
      <c r="J61" s="45">
        <v>0.85289999999999999</v>
      </c>
      <c r="K61" s="45">
        <v>0.6784</v>
      </c>
      <c r="L61" s="45">
        <v>0</v>
      </c>
      <c r="M61" s="45"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23.1" customHeight="1" x14ac:dyDescent="0.3">
      <c r="A62" s="18"/>
      <c r="B62" s="60" t="s">
        <v>383</v>
      </c>
      <c r="C62" s="60"/>
      <c r="D62" s="60"/>
      <c r="E62" s="86"/>
      <c r="F62" s="86"/>
      <c r="G62" s="86"/>
      <c r="H62" s="86"/>
      <c r="I62" s="86"/>
      <c r="J62" s="46">
        <f>SUM(J41:J61)</f>
        <v>35.626799999999996</v>
      </c>
      <c r="K62" s="46">
        <f>SUM(K41:K61)</f>
        <v>37.543400000000005</v>
      </c>
      <c r="L62" s="46">
        <f>SUM(L41:L61)</f>
        <v>0</v>
      </c>
      <c r="M62" s="45">
        <f>SUM(M41:M61)</f>
        <v>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3">
      <c r="A63" s="18"/>
      <c r="B63" s="18"/>
      <c r="C63" s="18"/>
      <c r="D63" s="18"/>
      <c r="E63" s="19"/>
      <c r="F63" s="19"/>
      <c r="G63" s="19"/>
      <c r="H63" s="19"/>
      <c r="I63" s="19"/>
      <c r="J63" s="47"/>
      <c r="K63" s="47"/>
      <c r="L63" s="47"/>
      <c r="M63" s="4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3">
      <c r="A64" s="18"/>
      <c r="B64" s="18"/>
      <c r="C64" s="18"/>
      <c r="D64" s="18"/>
      <c r="E64" s="19"/>
      <c r="F64" s="19"/>
      <c r="G64" s="19"/>
      <c r="H64" s="19"/>
      <c r="I64" s="19"/>
      <c r="J64" s="47">
        <f>SUM(J29,J39,J62)</f>
        <v>100</v>
      </c>
      <c r="K64" s="47">
        <f>SUM(K29,K39,K62)</f>
        <v>100.00000000000001</v>
      </c>
      <c r="L64" s="47">
        <f>SUM(L29,L39,L62)</f>
        <v>0.87251660642167916</v>
      </c>
      <c r="M64" s="47">
        <f>SUM(M29,M39,M62)</f>
        <v>0.91459535580071771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3">
      <c r="A65" s="18"/>
      <c r="B65" s="18"/>
      <c r="C65" s="18"/>
      <c r="D65" s="18"/>
      <c r="E65" s="19"/>
      <c r="F65" s="19"/>
      <c r="G65" s="19"/>
      <c r="H65" s="19"/>
      <c r="I65" s="19"/>
      <c r="J65" s="47"/>
      <c r="K65" s="47"/>
      <c r="L65" s="47"/>
      <c r="M65" s="47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3">
      <c r="A66" s="18"/>
      <c r="B66" s="18"/>
      <c r="C66" s="18"/>
      <c r="D66" s="18"/>
      <c r="E66" s="19"/>
      <c r="F66" s="19"/>
      <c r="G66" s="19"/>
      <c r="H66" s="19"/>
      <c r="I66" s="19"/>
      <c r="J66" s="47"/>
      <c r="K66" s="47"/>
      <c r="L66" s="47"/>
      <c r="M66" s="47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3">
      <c r="A67" s="18"/>
      <c r="B67" s="18"/>
      <c r="C67" s="18"/>
      <c r="D67" s="18"/>
      <c r="E67" s="19"/>
      <c r="F67" s="19"/>
      <c r="G67" s="19"/>
      <c r="H67" s="19"/>
      <c r="I67" s="19"/>
      <c r="J67" s="47"/>
      <c r="K67" s="47"/>
      <c r="L67" s="47"/>
      <c r="M67" s="47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3">
      <c r="A68" s="18"/>
      <c r="B68" s="18"/>
      <c r="C68" s="18"/>
      <c r="D68" s="18"/>
      <c r="E68" s="19"/>
      <c r="F68" s="19"/>
      <c r="G68" s="19"/>
      <c r="H68" s="19"/>
      <c r="I68" s="19"/>
      <c r="J68" s="47"/>
      <c r="K68" s="47"/>
      <c r="L68" s="47"/>
      <c r="M68" s="47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3">
      <c r="A69" s="18"/>
      <c r="B69" s="18"/>
      <c r="C69" s="18"/>
      <c r="D69" s="18"/>
      <c r="E69" s="19"/>
      <c r="F69" s="19"/>
      <c r="G69" s="19"/>
      <c r="H69" s="19"/>
      <c r="I69" s="19"/>
      <c r="J69" s="47"/>
      <c r="K69" s="47"/>
      <c r="L69" s="47"/>
      <c r="M69" s="4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">
      <c r="A70" s="18"/>
      <c r="B70" s="18"/>
      <c r="C70" s="18"/>
      <c r="D70" s="18"/>
      <c r="E70" s="19"/>
      <c r="F70" s="19"/>
      <c r="G70" s="19"/>
      <c r="H70" s="19"/>
      <c r="I70" s="19"/>
      <c r="J70" s="47"/>
      <c r="K70" s="47"/>
      <c r="L70" s="47"/>
      <c r="M70" s="47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3">
      <c r="A71" s="3"/>
      <c r="B71" s="3"/>
      <c r="C71" s="3"/>
      <c r="D71" s="3"/>
      <c r="E71" s="4"/>
      <c r="F71" s="4"/>
      <c r="G71" s="4"/>
      <c r="H71" s="4"/>
      <c r="I71" s="4"/>
      <c r="J71" s="48"/>
      <c r="K71" s="48"/>
      <c r="L71" s="48"/>
      <c r="M71" s="48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3">
      <c r="A72" s="3"/>
      <c r="B72" s="3"/>
      <c r="C72" s="3"/>
      <c r="D72" s="3"/>
      <c r="E72" s="4"/>
      <c r="F72" s="4"/>
      <c r="G72" s="4"/>
      <c r="H72" s="4"/>
      <c r="I72" s="4"/>
      <c r="J72" s="48"/>
      <c r="K72" s="48"/>
      <c r="L72" s="48"/>
      <c r="M72" s="48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3">
      <c r="A73" s="3"/>
      <c r="B73" s="3"/>
      <c r="C73" s="3"/>
      <c r="D73" s="3"/>
      <c r="E73" s="4"/>
      <c r="F73" s="4"/>
      <c r="G73" s="4"/>
      <c r="H73" s="4"/>
      <c r="I73" s="4"/>
      <c r="J73" s="48"/>
      <c r="K73" s="48"/>
      <c r="L73" s="48"/>
      <c r="M73" s="48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3">
      <c r="A74" s="3"/>
      <c r="B74" s="3"/>
      <c r="C74" s="3"/>
      <c r="D74" s="3"/>
      <c r="E74" s="4"/>
      <c r="F74" s="4"/>
      <c r="G74" s="4"/>
      <c r="H74" s="4"/>
      <c r="I74" s="4"/>
      <c r="J74" s="48"/>
      <c r="K74" s="48"/>
      <c r="L74" s="48"/>
      <c r="M74" s="48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">
      <c r="A75" s="3"/>
      <c r="B75" s="3"/>
      <c r="C75" s="3"/>
      <c r="D75" s="3"/>
      <c r="E75" s="4"/>
      <c r="F75" s="4"/>
      <c r="G75" s="4"/>
      <c r="H75" s="4"/>
      <c r="I75" s="4"/>
      <c r="J75" s="48"/>
      <c r="K75" s="48"/>
      <c r="L75" s="48"/>
      <c r="M75" s="48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3">
      <c r="A76" s="3"/>
      <c r="B76" s="3"/>
      <c r="C76" s="3"/>
      <c r="D76" s="3"/>
      <c r="E76" s="4"/>
      <c r="F76" s="4"/>
      <c r="G76" s="4"/>
      <c r="H76" s="4"/>
      <c r="I76" s="4"/>
      <c r="J76" s="48"/>
      <c r="K76" s="48"/>
      <c r="L76" s="48"/>
      <c r="M76" s="48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3">
      <c r="A77" s="3"/>
      <c r="B77" s="3"/>
      <c r="C77" s="3"/>
      <c r="D77" s="3"/>
      <c r="E77" s="4"/>
      <c r="F77" s="4"/>
      <c r="G77" s="4"/>
      <c r="H77" s="4"/>
      <c r="I77" s="4"/>
      <c r="J77" s="48"/>
      <c r="K77" s="48"/>
      <c r="L77" s="48"/>
      <c r="M77" s="48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3">
      <c r="A78" s="3"/>
      <c r="B78" s="3"/>
      <c r="C78" s="3"/>
      <c r="D78" s="3"/>
      <c r="E78" s="4"/>
      <c r="F78" s="4"/>
      <c r="G78" s="4"/>
      <c r="H78" s="4"/>
      <c r="I78" s="4"/>
      <c r="J78" s="48"/>
      <c r="K78" s="48"/>
      <c r="L78" s="48"/>
      <c r="M78" s="48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3">
      <c r="A79" s="3"/>
      <c r="B79" s="3"/>
      <c r="C79" s="3"/>
      <c r="D79" s="3"/>
      <c r="E79" s="4"/>
      <c r="F79" s="4"/>
      <c r="G79" s="4"/>
      <c r="H79" s="4"/>
      <c r="I79" s="4"/>
      <c r="J79" s="48"/>
      <c r="K79" s="48"/>
      <c r="L79" s="48"/>
      <c r="M79" s="48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">
      <c r="A80" s="3"/>
      <c r="B80" s="3"/>
      <c r="C80" s="3"/>
      <c r="D80" s="3"/>
      <c r="E80" s="4"/>
      <c r="F80" s="4"/>
      <c r="G80" s="4"/>
      <c r="H80" s="4"/>
      <c r="I80" s="4"/>
      <c r="J80" s="48"/>
      <c r="K80" s="48"/>
      <c r="L80" s="48"/>
      <c r="M80" s="48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</sheetData>
  <mergeCells count="10">
    <mergeCell ref="E4:G4"/>
    <mergeCell ref="H4:I4"/>
    <mergeCell ref="J4:K4"/>
    <mergeCell ref="L4:M4"/>
    <mergeCell ref="B6:M6"/>
    <mergeCell ref="B29:I29"/>
    <mergeCell ref="B30:M30"/>
    <mergeCell ref="B39:I39"/>
    <mergeCell ref="B40:M40"/>
    <mergeCell ref="B62:I62"/>
  </mergeCells>
  <pageMargins left="0.7" right="0.7" top="0.75" bottom="0.75" header="0.3" footer="0.3"/>
  <pageSetup scale="49" orientation="portrait" r:id="rId1"/>
  <headerFooter>
    <oddFooter>&amp;CPage 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CA9F-DAF7-4A16-BF15-2A0DA8F299AA}">
  <dimension ref="A1:E54"/>
  <sheetViews>
    <sheetView topLeftCell="A28" workbookViewId="0">
      <selection activeCell="B45" sqref="B45"/>
    </sheetView>
  </sheetViews>
  <sheetFormatPr defaultRowHeight="14.4" x14ac:dyDescent="0.3"/>
  <cols>
    <col min="1" max="1" width="6.5546875" customWidth="1"/>
    <col min="2" max="2" width="28.6640625" customWidth="1"/>
    <col min="3" max="3" width="7.5546875" customWidth="1"/>
    <col min="4" max="5" width="28.6640625" customWidth="1"/>
  </cols>
  <sheetData>
    <row r="1" spans="1:5" ht="17.399999999999999" x14ac:dyDescent="0.35">
      <c r="A1" s="91" t="s">
        <v>214</v>
      </c>
      <c r="B1" s="92"/>
      <c r="C1" s="92"/>
      <c r="D1" s="92"/>
      <c r="E1" s="92"/>
    </row>
    <row r="2" spans="1:5" x14ac:dyDescent="0.3">
      <c r="A2" s="13" t="s">
        <v>215</v>
      </c>
      <c r="B2" s="13" t="s">
        <v>134</v>
      </c>
      <c r="C2" s="13" t="s">
        <v>110</v>
      </c>
      <c r="D2" s="13" t="s">
        <v>216</v>
      </c>
      <c r="E2" s="13" t="s">
        <v>217</v>
      </c>
    </row>
    <row r="3" spans="1:5" x14ac:dyDescent="0.3">
      <c r="A3" s="13">
        <v>1</v>
      </c>
      <c r="B3" s="13">
        <v>2</v>
      </c>
      <c r="C3" s="13">
        <v>3</v>
      </c>
      <c r="D3" s="13">
        <v>4</v>
      </c>
      <c r="E3" s="13">
        <v>5</v>
      </c>
    </row>
    <row r="4" spans="1:5" ht="43.2" x14ac:dyDescent="0.3">
      <c r="A4" s="49">
        <v>1</v>
      </c>
      <c r="B4" s="49" t="s">
        <v>17</v>
      </c>
      <c r="C4" s="49" t="s">
        <v>18</v>
      </c>
      <c r="D4" s="50" t="s">
        <v>218</v>
      </c>
      <c r="E4" s="50" t="s">
        <v>219</v>
      </c>
    </row>
    <row r="5" spans="1:5" x14ac:dyDescent="0.3">
      <c r="A5" s="49">
        <v>2</v>
      </c>
      <c r="B5" s="49" t="s">
        <v>19</v>
      </c>
      <c r="C5" s="49" t="s">
        <v>20</v>
      </c>
      <c r="D5" s="50" t="s">
        <v>220</v>
      </c>
      <c r="E5" s="50" t="s">
        <v>221</v>
      </c>
    </row>
    <row r="6" spans="1:5" x14ac:dyDescent="0.3">
      <c r="A6" s="49">
        <v>3</v>
      </c>
      <c r="B6" s="49" t="s">
        <v>21</v>
      </c>
      <c r="C6" s="49" t="s">
        <v>20</v>
      </c>
      <c r="D6" s="50" t="s">
        <v>222</v>
      </c>
      <c r="E6" s="50" t="s">
        <v>223</v>
      </c>
    </row>
    <row r="7" spans="1:5" ht="28.8" x14ac:dyDescent="0.3">
      <c r="A7" s="49">
        <v>4</v>
      </c>
      <c r="B7" s="49" t="s">
        <v>22</v>
      </c>
      <c r="C7" s="49" t="s">
        <v>23</v>
      </c>
      <c r="D7" s="50" t="s">
        <v>224</v>
      </c>
      <c r="E7" s="50" t="s">
        <v>225</v>
      </c>
    </row>
    <row r="8" spans="1:5" x14ac:dyDescent="0.3">
      <c r="A8" s="49">
        <v>5</v>
      </c>
      <c r="B8" s="49" t="s">
        <v>24</v>
      </c>
      <c r="C8" s="49" t="s">
        <v>20</v>
      </c>
      <c r="D8" s="50" t="s">
        <v>226</v>
      </c>
      <c r="E8" s="50" t="s">
        <v>227</v>
      </c>
    </row>
    <row r="9" spans="1:5" x14ac:dyDescent="0.3">
      <c r="A9" s="49">
        <v>6</v>
      </c>
      <c r="B9" s="49" t="s">
        <v>25</v>
      </c>
      <c r="C9" s="49" t="s">
        <v>20</v>
      </c>
      <c r="D9" s="50" t="s">
        <v>228</v>
      </c>
      <c r="E9" s="50" t="s">
        <v>229</v>
      </c>
    </row>
    <row r="10" spans="1:5" x14ac:dyDescent="0.3">
      <c r="A10" s="49">
        <v>7</v>
      </c>
      <c r="B10" s="49" t="s">
        <v>26</v>
      </c>
      <c r="C10" s="49" t="s">
        <v>20</v>
      </c>
      <c r="D10" s="50" t="s">
        <v>230</v>
      </c>
      <c r="E10" s="50" t="s">
        <v>231</v>
      </c>
    </row>
    <row r="11" spans="1:5" x14ac:dyDescent="0.3">
      <c r="A11" s="49">
        <v>8</v>
      </c>
      <c r="B11" s="49" t="s">
        <v>27</v>
      </c>
      <c r="C11" s="49" t="s">
        <v>28</v>
      </c>
      <c r="D11" s="50" t="s">
        <v>232</v>
      </c>
      <c r="E11" s="50" t="s">
        <v>233</v>
      </c>
    </row>
    <row r="12" spans="1:5" x14ac:dyDescent="0.3">
      <c r="A12" s="49">
        <v>9</v>
      </c>
      <c r="B12" s="49" t="s">
        <v>29</v>
      </c>
      <c r="C12" s="49" t="s">
        <v>20</v>
      </c>
      <c r="D12" s="50" t="s">
        <v>234</v>
      </c>
      <c r="E12" s="50" t="s">
        <v>235</v>
      </c>
    </row>
    <row r="13" spans="1:5" ht="28.8" x14ac:dyDescent="0.3">
      <c r="A13" s="49">
        <v>10</v>
      </c>
      <c r="B13" s="49" t="s">
        <v>30</v>
      </c>
      <c r="C13" s="49" t="s">
        <v>23</v>
      </c>
      <c r="D13" s="50" t="s">
        <v>236</v>
      </c>
      <c r="E13" s="50" t="s">
        <v>237</v>
      </c>
    </row>
    <row r="14" spans="1:5" ht="28.8" x14ac:dyDescent="0.3">
      <c r="A14" s="49">
        <v>11</v>
      </c>
      <c r="B14" s="49" t="s">
        <v>31</v>
      </c>
      <c r="C14" s="49" t="s">
        <v>32</v>
      </c>
      <c r="D14" s="50" t="s">
        <v>238</v>
      </c>
      <c r="E14" s="50" t="s">
        <v>239</v>
      </c>
    </row>
    <row r="15" spans="1:5" x14ac:dyDescent="0.3">
      <c r="A15" s="49">
        <v>12</v>
      </c>
      <c r="B15" s="49" t="s">
        <v>33</v>
      </c>
      <c r="C15" s="49" t="s">
        <v>20</v>
      </c>
      <c r="D15" s="50" t="s">
        <v>240</v>
      </c>
      <c r="E15" s="50" t="s">
        <v>241</v>
      </c>
    </row>
    <row r="16" spans="1:5" x14ac:dyDescent="0.3">
      <c r="A16" s="49">
        <v>13</v>
      </c>
      <c r="B16" s="49" t="s">
        <v>34</v>
      </c>
      <c r="C16" s="49" t="s">
        <v>23</v>
      </c>
      <c r="D16" s="50" t="s">
        <v>242</v>
      </c>
      <c r="E16" s="50" t="s">
        <v>243</v>
      </c>
    </row>
    <row r="17" spans="1:5" x14ac:dyDescent="0.3">
      <c r="A17" s="49">
        <v>14</v>
      </c>
      <c r="B17" s="49" t="s">
        <v>35</v>
      </c>
      <c r="C17" s="49" t="s">
        <v>23</v>
      </c>
      <c r="D17" s="50" t="s">
        <v>244</v>
      </c>
      <c r="E17" s="50" t="s">
        <v>245</v>
      </c>
    </row>
    <row r="18" spans="1:5" ht="28.8" x14ac:dyDescent="0.3">
      <c r="A18" s="49">
        <v>15</v>
      </c>
      <c r="B18" s="49" t="s">
        <v>36</v>
      </c>
      <c r="C18" s="49" t="s">
        <v>23</v>
      </c>
      <c r="D18" s="50" t="s">
        <v>246</v>
      </c>
      <c r="E18" s="50" t="s">
        <v>247</v>
      </c>
    </row>
    <row r="19" spans="1:5" ht="28.8" x14ac:dyDescent="0.3">
      <c r="A19" s="49">
        <v>16</v>
      </c>
      <c r="B19" s="49" t="s">
        <v>37</v>
      </c>
      <c r="C19" s="49" t="s">
        <v>32</v>
      </c>
      <c r="D19" s="50" t="s">
        <v>248</v>
      </c>
      <c r="E19" s="50" t="s">
        <v>249</v>
      </c>
    </row>
    <row r="20" spans="1:5" ht="28.8" x14ac:dyDescent="0.3">
      <c r="A20" s="49">
        <v>17</v>
      </c>
      <c r="B20" s="49" t="s">
        <v>38</v>
      </c>
      <c r="C20" s="49" t="s">
        <v>20</v>
      </c>
      <c r="D20" s="50" t="s">
        <v>250</v>
      </c>
      <c r="E20" s="50" t="s">
        <v>251</v>
      </c>
    </row>
    <row r="21" spans="1:5" x14ac:dyDescent="0.3">
      <c r="A21" s="49">
        <v>18</v>
      </c>
      <c r="B21" s="49" t="s">
        <v>39</v>
      </c>
      <c r="C21" s="49" t="s">
        <v>20</v>
      </c>
      <c r="D21" s="50" t="s">
        <v>252</v>
      </c>
      <c r="E21" s="50" t="s">
        <v>253</v>
      </c>
    </row>
    <row r="22" spans="1:5" x14ac:dyDescent="0.3">
      <c r="A22" s="49">
        <v>19</v>
      </c>
      <c r="B22" s="49" t="s">
        <v>40</v>
      </c>
      <c r="C22" s="49" t="s">
        <v>20</v>
      </c>
      <c r="D22" s="50" t="s">
        <v>254</v>
      </c>
      <c r="E22" s="50" t="s">
        <v>255</v>
      </c>
    </row>
    <row r="23" spans="1:5" x14ac:dyDescent="0.3">
      <c r="A23" s="49">
        <v>20</v>
      </c>
      <c r="B23" s="49" t="s">
        <v>41</v>
      </c>
      <c r="C23" s="49" t="s">
        <v>20</v>
      </c>
      <c r="D23" s="50" t="s">
        <v>256</v>
      </c>
      <c r="E23" s="50" t="s">
        <v>257</v>
      </c>
    </row>
    <row r="24" spans="1:5" ht="28.8" x14ac:dyDescent="0.3">
      <c r="A24" s="49">
        <v>21</v>
      </c>
      <c r="B24" s="49" t="s">
        <v>42</v>
      </c>
      <c r="C24" s="49" t="s">
        <v>20</v>
      </c>
      <c r="D24" s="50" t="s">
        <v>258</v>
      </c>
      <c r="E24" s="50" t="s">
        <v>259</v>
      </c>
    </row>
    <row r="25" spans="1:5" ht="28.8" x14ac:dyDescent="0.3">
      <c r="A25" s="49">
        <v>22</v>
      </c>
      <c r="B25" s="49" t="s">
        <v>43</v>
      </c>
      <c r="C25" s="49" t="s">
        <v>20</v>
      </c>
      <c r="D25" s="50" t="s">
        <v>260</v>
      </c>
      <c r="E25" s="50" t="s">
        <v>261</v>
      </c>
    </row>
    <row r="26" spans="1:5" x14ac:dyDescent="0.3">
      <c r="A26" s="49">
        <v>23</v>
      </c>
      <c r="B26" s="49" t="s">
        <v>44</v>
      </c>
      <c r="C26" s="49" t="s">
        <v>20</v>
      </c>
      <c r="D26" s="50" t="s">
        <v>262</v>
      </c>
      <c r="E26" s="50" t="s">
        <v>263</v>
      </c>
    </row>
    <row r="27" spans="1:5" ht="28.8" x14ac:dyDescent="0.3">
      <c r="A27" s="49">
        <v>24</v>
      </c>
      <c r="B27" s="49" t="s">
        <v>45</v>
      </c>
      <c r="C27" s="49" t="s">
        <v>20</v>
      </c>
      <c r="D27" s="50" t="s">
        <v>264</v>
      </c>
      <c r="E27" s="50" t="s">
        <v>265</v>
      </c>
    </row>
    <row r="28" spans="1:5" x14ac:dyDescent="0.3">
      <c r="A28" s="49">
        <v>25</v>
      </c>
      <c r="B28" s="49" t="s">
        <v>46</v>
      </c>
      <c r="C28" s="49" t="s">
        <v>20</v>
      </c>
      <c r="D28" s="50" t="s">
        <v>266</v>
      </c>
      <c r="E28" s="50" t="s">
        <v>267</v>
      </c>
    </row>
    <row r="29" spans="1:5" ht="72" x14ac:dyDescent="0.3">
      <c r="A29" s="49">
        <v>26</v>
      </c>
      <c r="B29" s="49" t="s">
        <v>47</v>
      </c>
      <c r="C29" s="49" t="s">
        <v>23</v>
      </c>
      <c r="D29" s="50" t="s">
        <v>268</v>
      </c>
      <c r="E29" s="50" t="s">
        <v>269</v>
      </c>
    </row>
    <row r="30" spans="1:5" ht="72" x14ac:dyDescent="0.3">
      <c r="A30" s="49">
        <v>27</v>
      </c>
      <c r="B30" s="49" t="s">
        <v>48</v>
      </c>
      <c r="C30" s="49" t="s">
        <v>23</v>
      </c>
      <c r="D30" s="50" t="s">
        <v>270</v>
      </c>
      <c r="E30" s="50" t="s">
        <v>271</v>
      </c>
    </row>
    <row r="31" spans="1:5" ht="28.8" x14ac:dyDescent="0.3">
      <c r="A31" s="49">
        <v>28</v>
      </c>
      <c r="B31" s="49" t="s">
        <v>49</v>
      </c>
      <c r="C31" s="49" t="s">
        <v>20</v>
      </c>
      <c r="D31" s="50" t="s">
        <v>272</v>
      </c>
      <c r="E31" s="50" t="s">
        <v>273</v>
      </c>
    </row>
    <row r="32" spans="1:5" ht="28.8" x14ac:dyDescent="0.3">
      <c r="A32" s="49">
        <v>29</v>
      </c>
      <c r="B32" s="49" t="s">
        <v>50</v>
      </c>
      <c r="C32" s="49" t="s">
        <v>23</v>
      </c>
      <c r="D32" s="50" t="s">
        <v>274</v>
      </c>
      <c r="E32" s="50" t="s">
        <v>275</v>
      </c>
    </row>
    <row r="33" spans="1:5" x14ac:dyDescent="0.3">
      <c r="A33" s="49">
        <v>30</v>
      </c>
      <c r="B33" s="49" t="s">
        <v>51</v>
      </c>
      <c r="C33" s="49" t="s">
        <v>52</v>
      </c>
      <c r="D33" s="50" t="s">
        <v>276</v>
      </c>
      <c r="E33" s="50" t="s">
        <v>277</v>
      </c>
    </row>
    <row r="34" spans="1:5" x14ac:dyDescent="0.3">
      <c r="A34" s="49">
        <v>31</v>
      </c>
      <c r="B34" s="49" t="s">
        <v>53</v>
      </c>
      <c r="C34" s="49" t="s">
        <v>52</v>
      </c>
      <c r="D34" s="50" t="s">
        <v>278</v>
      </c>
      <c r="E34" s="50" t="s">
        <v>279</v>
      </c>
    </row>
    <row r="35" spans="1:5" ht="43.2" x14ac:dyDescent="0.3">
      <c r="A35" s="49">
        <v>32</v>
      </c>
      <c r="B35" s="49" t="s">
        <v>54</v>
      </c>
      <c r="C35" s="49" t="s">
        <v>55</v>
      </c>
      <c r="D35" s="50" t="s">
        <v>280</v>
      </c>
      <c r="E35" s="50" t="s">
        <v>281</v>
      </c>
    </row>
    <row r="36" spans="1:5" ht="28.8" x14ac:dyDescent="0.3">
      <c r="A36" s="49">
        <v>33</v>
      </c>
      <c r="B36" s="49" t="s">
        <v>56</v>
      </c>
      <c r="C36" s="49" t="s">
        <v>23</v>
      </c>
      <c r="D36" s="50" t="s">
        <v>282</v>
      </c>
      <c r="E36" s="50" t="s">
        <v>283</v>
      </c>
    </row>
    <row r="37" spans="1:5" x14ac:dyDescent="0.3">
      <c r="A37" s="49">
        <v>34</v>
      </c>
      <c r="B37" s="49" t="s">
        <v>57</v>
      </c>
      <c r="C37" s="49" t="s">
        <v>58</v>
      </c>
      <c r="D37" s="50" t="s">
        <v>284</v>
      </c>
      <c r="E37" s="50" t="s">
        <v>285</v>
      </c>
    </row>
    <row r="38" spans="1:5" x14ac:dyDescent="0.3">
      <c r="A38" s="49">
        <v>35</v>
      </c>
      <c r="B38" s="49" t="s">
        <v>59</v>
      </c>
      <c r="C38" s="49" t="s">
        <v>58</v>
      </c>
      <c r="D38" s="50" t="s">
        <v>286</v>
      </c>
      <c r="E38" s="50" t="s">
        <v>287</v>
      </c>
    </row>
    <row r="39" spans="1:5" x14ac:dyDescent="0.3">
      <c r="A39" s="49">
        <v>36</v>
      </c>
      <c r="B39" s="49" t="s">
        <v>60</v>
      </c>
      <c r="C39" s="49" t="s">
        <v>58</v>
      </c>
      <c r="D39" s="50" t="s">
        <v>284</v>
      </c>
      <c r="E39" s="50" t="s">
        <v>288</v>
      </c>
    </row>
    <row r="40" spans="1:5" x14ac:dyDescent="0.3">
      <c r="A40" s="49">
        <v>37</v>
      </c>
      <c r="B40" s="49" t="s">
        <v>61</v>
      </c>
      <c r="C40" s="49" t="s">
        <v>58</v>
      </c>
      <c r="D40" s="50" t="s">
        <v>289</v>
      </c>
      <c r="E40" s="50" t="s">
        <v>290</v>
      </c>
    </row>
    <row r="41" spans="1:5" x14ac:dyDescent="0.3">
      <c r="A41" s="49">
        <v>38</v>
      </c>
      <c r="B41" s="49" t="s">
        <v>62</v>
      </c>
      <c r="C41" s="49" t="s">
        <v>63</v>
      </c>
      <c r="D41" s="50" t="s">
        <v>291</v>
      </c>
      <c r="E41" s="50" t="s">
        <v>291</v>
      </c>
    </row>
    <row r="42" spans="1:5" x14ac:dyDescent="0.3">
      <c r="A42" s="49">
        <v>39</v>
      </c>
      <c r="B42" s="49" t="s">
        <v>64</v>
      </c>
      <c r="C42" s="49" t="s">
        <v>63</v>
      </c>
      <c r="D42" s="50" t="s">
        <v>292</v>
      </c>
      <c r="E42" s="50" t="s">
        <v>292</v>
      </c>
    </row>
    <row r="43" spans="1:5" x14ac:dyDescent="0.3">
      <c r="A43" s="49">
        <v>40</v>
      </c>
      <c r="B43" s="49" t="s">
        <v>65</v>
      </c>
      <c r="C43" s="49" t="s">
        <v>63</v>
      </c>
      <c r="D43" s="50" t="s">
        <v>293</v>
      </c>
      <c r="E43" s="50" t="s">
        <v>293</v>
      </c>
    </row>
    <row r="44" spans="1:5" x14ac:dyDescent="0.3">
      <c r="A44" s="49">
        <v>41</v>
      </c>
      <c r="B44" s="49" t="s">
        <v>66</v>
      </c>
      <c r="C44" s="49" t="s">
        <v>67</v>
      </c>
      <c r="D44" s="50" t="s">
        <v>294</v>
      </c>
      <c r="E44" s="50" t="s">
        <v>294</v>
      </c>
    </row>
    <row r="45" spans="1:5" x14ac:dyDescent="0.3">
      <c r="A45" s="49">
        <v>42</v>
      </c>
      <c r="B45" s="49" t="s">
        <v>404</v>
      </c>
      <c r="C45" s="49" t="s">
        <v>69</v>
      </c>
      <c r="D45" s="50" t="s">
        <v>295</v>
      </c>
      <c r="E45" s="50" t="s">
        <v>295</v>
      </c>
    </row>
    <row r="46" spans="1:5" x14ac:dyDescent="0.3">
      <c r="A46" s="49">
        <v>43</v>
      </c>
      <c r="B46" s="49" t="s">
        <v>70</v>
      </c>
      <c r="C46" s="49" t="s">
        <v>71</v>
      </c>
      <c r="D46" s="50" t="s">
        <v>296</v>
      </c>
      <c r="E46" s="50" t="s">
        <v>297</v>
      </c>
    </row>
    <row r="47" spans="1:5" x14ac:dyDescent="0.3">
      <c r="A47" s="49">
        <v>44</v>
      </c>
      <c r="B47" s="49" t="s">
        <v>72</v>
      </c>
      <c r="C47" s="49" t="s">
        <v>23</v>
      </c>
      <c r="D47" s="50" t="s">
        <v>298</v>
      </c>
      <c r="E47" s="50" t="s">
        <v>299</v>
      </c>
    </row>
    <row r="48" spans="1:5" x14ac:dyDescent="0.3">
      <c r="A48" s="49">
        <v>45</v>
      </c>
      <c r="B48" s="49" t="s">
        <v>73</v>
      </c>
      <c r="C48" s="49" t="s">
        <v>23</v>
      </c>
      <c r="D48" s="50" t="s">
        <v>300</v>
      </c>
      <c r="E48" s="50" t="s">
        <v>301</v>
      </c>
    </row>
    <row r="49" spans="1:5" ht="57.6" x14ac:dyDescent="0.3">
      <c r="A49" s="49">
        <v>46</v>
      </c>
      <c r="B49" s="49" t="s">
        <v>74</v>
      </c>
      <c r="C49" s="49" t="s">
        <v>23</v>
      </c>
      <c r="D49" s="50" t="s">
        <v>302</v>
      </c>
      <c r="E49" s="50" t="s">
        <v>303</v>
      </c>
    </row>
    <row r="50" spans="1:5" x14ac:dyDescent="0.3">
      <c r="A50" s="49">
        <v>47</v>
      </c>
      <c r="B50" s="49" t="s">
        <v>75</v>
      </c>
      <c r="C50" s="49" t="s">
        <v>76</v>
      </c>
      <c r="D50" s="50" t="s">
        <v>304</v>
      </c>
      <c r="E50" s="50" t="s">
        <v>305</v>
      </c>
    </row>
    <row r="51" spans="1:5" x14ac:dyDescent="0.3">
      <c r="A51" s="49">
        <v>48</v>
      </c>
      <c r="B51" s="49" t="s">
        <v>77</v>
      </c>
      <c r="C51" s="49" t="s">
        <v>76</v>
      </c>
      <c r="D51" s="50" t="s">
        <v>306</v>
      </c>
      <c r="E51" s="50" t="s">
        <v>307</v>
      </c>
    </row>
    <row r="52" spans="1:5" x14ac:dyDescent="0.3">
      <c r="A52" s="49">
        <v>49</v>
      </c>
      <c r="B52" s="49" t="s">
        <v>78</v>
      </c>
      <c r="C52" s="49" t="s">
        <v>23</v>
      </c>
      <c r="D52" s="50" t="s">
        <v>308</v>
      </c>
      <c r="E52" s="50" t="s">
        <v>309</v>
      </c>
    </row>
    <row r="53" spans="1:5" x14ac:dyDescent="0.3">
      <c r="A53" s="49">
        <v>50</v>
      </c>
      <c r="B53" s="49" t="s">
        <v>79</v>
      </c>
      <c r="C53" s="49" t="s">
        <v>80</v>
      </c>
      <c r="D53" s="50" t="s">
        <v>310</v>
      </c>
      <c r="E53" s="50" t="s">
        <v>310</v>
      </c>
    </row>
    <row r="54" spans="1:5" x14ac:dyDescent="0.3">
      <c r="A54" s="49">
        <v>51</v>
      </c>
      <c r="B54" s="49" t="s">
        <v>81</v>
      </c>
      <c r="C54" s="49" t="s">
        <v>23</v>
      </c>
      <c r="D54" s="50" t="s">
        <v>311</v>
      </c>
      <c r="E54" s="50" t="s">
        <v>312</v>
      </c>
    </row>
  </sheetData>
  <mergeCells count="1">
    <mergeCell ref="A1:E1"/>
  </mergeCells>
  <printOptions horizontalCentered="1"/>
  <pageMargins left="0.4861111111111111" right="0.4861111111111111" top="0.4861111111111111" bottom="0.4861111111111111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38DC-8E70-4B86-8E81-45759A18997C}">
  <dimension ref="A1:S58"/>
  <sheetViews>
    <sheetView tabSelected="1" workbookViewId="0">
      <selection activeCell="H4" sqref="H4"/>
    </sheetView>
  </sheetViews>
  <sheetFormatPr defaultRowHeight="14.4" x14ac:dyDescent="0.3"/>
  <cols>
    <col min="1" max="1" width="3.44140625" customWidth="1"/>
    <col min="3" max="3" width="22.88671875" customWidth="1"/>
    <col min="4" max="4" width="5.88671875" customWidth="1"/>
    <col min="5" max="5" width="9.33203125" customWidth="1"/>
    <col min="6" max="6" width="7.109375" customWidth="1"/>
    <col min="7" max="9" width="9.44140625" customWidth="1"/>
    <col min="10" max="12" width="7.33203125" customWidth="1"/>
    <col min="13" max="14" width="6.44140625" customWidth="1"/>
  </cols>
  <sheetData>
    <row r="1" spans="1:19" ht="15.6" x14ac:dyDescent="0.3">
      <c r="A1" s="94" t="s">
        <v>313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9" x14ac:dyDescent="0.3">
      <c r="A2" s="72" t="s">
        <v>314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P2" t="s">
        <v>374</v>
      </c>
    </row>
    <row r="3" spans="1:19" ht="26.25" customHeight="1" x14ac:dyDescent="0.3">
      <c r="A3" s="5" t="s">
        <v>133</v>
      </c>
      <c r="B3" s="5" t="s">
        <v>315</v>
      </c>
      <c r="C3" s="5" t="s">
        <v>103</v>
      </c>
      <c r="D3" s="5" t="s">
        <v>110</v>
      </c>
      <c r="E3" s="5" t="s">
        <v>316</v>
      </c>
      <c r="F3" s="5" t="s">
        <v>317</v>
      </c>
      <c r="G3" s="96" t="s">
        <v>318</v>
      </c>
      <c r="H3" s="96"/>
      <c r="I3" s="96"/>
      <c r="J3" s="96" t="s">
        <v>319</v>
      </c>
      <c r="K3" s="96"/>
      <c r="L3" s="96"/>
      <c r="M3" s="96" t="s">
        <v>320</v>
      </c>
      <c r="N3" s="96"/>
      <c r="P3" s="10" t="s">
        <v>375</v>
      </c>
      <c r="Q3" s="10" t="s">
        <v>317</v>
      </c>
      <c r="R3" s="93" t="s">
        <v>376</v>
      </c>
      <c r="S3" s="93"/>
    </row>
    <row r="4" spans="1:19" x14ac:dyDescent="0.3">
      <c r="A4" s="6">
        <v>1</v>
      </c>
      <c r="B4" s="7" t="s">
        <v>321</v>
      </c>
      <c r="C4" s="6" t="s">
        <v>17</v>
      </c>
      <c r="D4" s="6" t="s">
        <v>18</v>
      </c>
      <c r="E4" s="8">
        <v>779.92</v>
      </c>
      <c r="F4" s="9">
        <v>3.9725000000000001</v>
      </c>
      <c r="G4" s="8">
        <v>2536.5500000000002</v>
      </c>
      <c r="H4" s="8">
        <v>2678.83</v>
      </c>
      <c r="I4" s="8">
        <v>1491.87</v>
      </c>
      <c r="J4" s="9">
        <f t="shared" ref="J4:J35" si="0">ROUND(ROUND(ROUND(G4*F4,4)*100/E4,4)/100,4)</f>
        <v>12.9198</v>
      </c>
      <c r="K4" s="9">
        <f t="shared" ref="K4:K35" si="1">ROUND(ROUND(ROUND(H4*F4,4)*100/E4,4)/100,4)</f>
        <v>13.644500000000001</v>
      </c>
      <c r="L4" s="9">
        <f t="shared" ref="L4:L35" si="2">ROUND(ROUND(ROUND(I4*F4,4)*100/E4,4)/100,4)</f>
        <v>7.5987999999999998</v>
      </c>
      <c r="M4" s="9">
        <f>(J4-K4)/K55*100</f>
        <v>-0.20228246749440501</v>
      </c>
      <c r="N4" s="9">
        <f>(J4-L4)/L55*100</f>
        <v>1.6168686714298612</v>
      </c>
      <c r="P4" s="10" t="s">
        <v>163</v>
      </c>
      <c r="Q4" s="11">
        <f>SUM(F4:F36)</f>
        <v>63.430500000000002</v>
      </c>
      <c r="R4" s="12">
        <f>SUM(M4:M36)</f>
        <v>0.310555365439871</v>
      </c>
      <c r="S4" s="12">
        <f>SUM(N4:N36)</f>
        <v>5.6558801481283885</v>
      </c>
    </row>
    <row r="5" spans="1:19" x14ac:dyDescent="0.3">
      <c r="A5" s="6">
        <v>2</v>
      </c>
      <c r="B5" s="7" t="s">
        <v>322</v>
      </c>
      <c r="C5" s="6" t="s">
        <v>19</v>
      </c>
      <c r="D5" s="6" t="s">
        <v>20</v>
      </c>
      <c r="E5" s="8">
        <v>63.21</v>
      </c>
      <c r="F5" s="9">
        <v>1.2636000000000001</v>
      </c>
      <c r="G5" s="8">
        <v>238.77</v>
      </c>
      <c r="H5" s="8">
        <v>238.77</v>
      </c>
      <c r="I5" s="8">
        <v>225.9</v>
      </c>
      <c r="J5" s="9">
        <f t="shared" si="0"/>
        <v>4.7731000000000003</v>
      </c>
      <c r="K5" s="9">
        <f t="shared" si="1"/>
        <v>4.7731000000000003</v>
      </c>
      <c r="L5" s="9">
        <f t="shared" si="2"/>
        <v>4.5159000000000002</v>
      </c>
      <c r="M5" s="9">
        <f>(J5-K5)/K55*100</f>
        <v>0</v>
      </c>
      <c r="N5" s="9">
        <f>(J5-L5)/L55*100</f>
        <v>7.8154223321135197E-2</v>
      </c>
      <c r="P5" s="10" t="s">
        <v>164</v>
      </c>
      <c r="Q5" s="11">
        <f>SUM(F37:F43,F46:F49,F52,F54)</f>
        <v>13.237699999999997</v>
      </c>
      <c r="R5" s="12">
        <f>SUM(M37:M43,M46:M49,M52,M54)</f>
        <v>-9.6577526911914551E-3</v>
      </c>
      <c r="S5" s="12">
        <f>SUM(N37:N43,N46:N49,N52,N54)</f>
        <v>1.3762679170532093</v>
      </c>
    </row>
    <row r="6" spans="1:19" x14ac:dyDescent="0.3">
      <c r="A6" s="6">
        <v>3</v>
      </c>
      <c r="B6" s="7" t="s">
        <v>323</v>
      </c>
      <c r="C6" s="6" t="s">
        <v>21</v>
      </c>
      <c r="D6" s="6" t="s">
        <v>20</v>
      </c>
      <c r="E6" s="8">
        <v>46.47</v>
      </c>
      <c r="F6" s="9">
        <v>0.1671</v>
      </c>
      <c r="G6" s="8">
        <v>160.75</v>
      </c>
      <c r="H6" s="8">
        <v>160.86000000000001</v>
      </c>
      <c r="I6" s="8">
        <v>162.38999999999999</v>
      </c>
      <c r="J6" s="9">
        <f t="shared" si="0"/>
        <v>0.57799999999999996</v>
      </c>
      <c r="K6" s="9">
        <f t="shared" si="1"/>
        <v>0.57840000000000003</v>
      </c>
      <c r="L6" s="9">
        <f t="shared" si="2"/>
        <v>0.58389999999999997</v>
      </c>
      <c r="M6" s="9">
        <f>(J6-K6)/K55*100</f>
        <v>-1.1165032012939908E-4</v>
      </c>
      <c r="N6" s="9">
        <f>(J6-L6)/L55*100</f>
        <v>-1.7928068335719236E-3</v>
      </c>
      <c r="P6" s="10" t="s">
        <v>166</v>
      </c>
      <c r="Q6" s="11">
        <f>SUM(F44:F45,F53)</f>
        <v>16.5426</v>
      </c>
      <c r="R6" s="12">
        <f>SUM(M44:M45,M53)</f>
        <v>0</v>
      </c>
      <c r="S6" s="12">
        <f>SUM(N44:N45,N53)</f>
        <v>1.0853166385540376</v>
      </c>
    </row>
    <row r="7" spans="1:19" x14ac:dyDescent="0.3">
      <c r="A7" s="6">
        <v>4</v>
      </c>
      <c r="B7" s="7" t="s">
        <v>324</v>
      </c>
      <c r="C7" s="6" t="s">
        <v>22</v>
      </c>
      <c r="D7" s="6" t="s">
        <v>23</v>
      </c>
      <c r="E7" s="8">
        <v>42.71</v>
      </c>
      <c r="F7" s="9">
        <v>0.56979999999999997</v>
      </c>
      <c r="G7" s="8">
        <v>125.75</v>
      </c>
      <c r="H7" s="8">
        <v>125.75</v>
      </c>
      <c r="I7" s="8">
        <v>109.78</v>
      </c>
      <c r="J7" s="9">
        <f t="shared" si="0"/>
        <v>1.6776</v>
      </c>
      <c r="K7" s="9">
        <f t="shared" si="1"/>
        <v>1.6776</v>
      </c>
      <c r="L7" s="9">
        <f t="shared" si="2"/>
        <v>1.4645999999999999</v>
      </c>
      <c r="M7" s="9">
        <f>(J7-K7)/K55*100</f>
        <v>0</v>
      </c>
      <c r="N7" s="9">
        <f>(J7-L7)/L55*100</f>
        <v>6.4723365347596415E-2</v>
      </c>
      <c r="P7" s="10" t="s">
        <v>167</v>
      </c>
      <c r="Q7" s="11">
        <f>SUM(F50:F51)</f>
        <v>6.7892000000000001</v>
      </c>
      <c r="R7" s="12">
        <f>SUM(M50:M51)</f>
        <v>0.4306911098990841</v>
      </c>
      <c r="S7" s="12">
        <f>SUM(N50:N51)</f>
        <v>1.5422696752193685</v>
      </c>
    </row>
    <row r="8" spans="1:19" x14ac:dyDescent="0.3">
      <c r="A8" s="6">
        <v>5</v>
      </c>
      <c r="B8" s="7" t="s">
        <v>325</v>
      </c>
      <c r="C8" s="6" t="s">
        <v>24</v>
      </c>
      <c r="D8" s="6" t="s">
        <v>20</v>
      </c>
      <c r="E8" s="8">
        <v>332.37</v>
      </c>
      <c r="F8" s="9">
        <v>3.3532999999999999</v>
      </c>
      <c r="G8" s="8">
        <v>1313.73</v>
      </c>
      <c r="H8" s="8">
        <v>1313.73</v>
      </c>
      <c r="I8" s="8">
        <v>1164.8</v>
      </c>
      <c r="J8" s="9">
        <f t="shared" si="0"/>
        <v>13.254300000000001</v>
      </c>
      <c r="K8" s="9">
        <f t="shared" si="1"/>
        <v>13.254300000000001</v>
      </c>
      <c r="L8" s="9">
        <f t="shared" si="2"/>
        <v>11.7517</v>
      </c>
      <c r="M8" s="9">
        <f>(J8-K8)/K55*100</f>
        <v>0</v>
      </c>
      <c r="N8" s="9">
        <f>(J8-L8)/L55*100</f>
        <v>0.45658839798731649</v>
      </c>
      <c r="P8" s="10" t="s">
        <v>377</v>
      </c>
      <c r="Q8" s="11">
        <f>SUM(Q4:Q7)</f>
        <v>100</v>
      </c>
      <c r="R8" s="12">
        <f>SUM(R4:R7)</f>
        <v>0.73158872264776365</v>
      </c>
      <c r="S8" s="12">
        <f>SUM(S4:S7)</f>
        <v>9.6597343789550045</v>
      </c>
    </row>
    <row r="9" spans="1:19" x14ac:dyDescent="0.3">
      <c r="A9" s="6">
        <v>6</v>
      </c>
      <c r="B9" s="7" t="s">
        <v>326</v>
      </c>
      <c r="C9" s="6" t="s">
        <v>25</v>
      </c>
      <c r="D9" s="6" t="s">
        <v>20</v>
      </c>
      <c r="E9" s="8">
        <v>657.62</v>
      </c>
      <c r="F9" s="9">
        <v>2.4386999999999999</v>
      </c>
      <c r="G9" s="8">
        <v>2552.5100000000002</v>
      </c>
      <c r="H9" s="8">
        <v>2552.5100000000002</v>
      </c>
      <c r="I9" s="8">
        <v>2189.16</v>
      </c>
      <c r="J9" s="9">
        <f t="shared" si="0"/>
        <v>9.4657</v>
      </c>
      <c r="K9" s="9">
        <f t="shared" si="1"/>
        <v>9.4657</v>
      </c>
      <c r="L9" s="9">
        <f t="shared" si="2"/>
        <v>8.1181999999999999</v>
      </c>
      <c r="M9" s="9">
        <f>(J9-K9)/K55*100</f>
        <v>0</v>
      </c>
      <c r="N9" s="9">
        <f>(J9-L9)/L55*100</f>
        <v>0.40945884885392558</v>
      </c>
    </row>
    <row r="10" spans="1:19" x14ac:dyDescent="0.3">
      <c r="A10" s="6">
        <v>7</v>
      </c>
      <c r="B10" s="7" t="s">
        <v>327</v>
      </c>
      <c r="C10" s="6" t="s">
        <v>26</v>
      </c>
      <c r="D10" s="6" t="s">
        <v>20</v>
      </c>
      <c r="E10" s="8">
        <v>141.05000000000001</v>
      </c>
      <c r="F10" s="9">
        <v>3.8681000000000001</v>
      </c>
      <c r="G10" s="8">
        <v>355.43</v>
      </c>
      <c r="H10" s="8">
        <v>372.51</v>
      </c>
      <c r="I10" s="8">
        <v>422.13</v>
      </c>
      <c r="J10" s="9">
        <f t="shared" si="0"/>
        <v>9.7471999999999994</v>
      </c>
      <c r="K10" s="9">
        <f t="shared" si="1"/>
        <v>10.2156</v>
      </c>
      <c r="L10" s="9">
        <f t="shared" si="2"/>
        <v>11.5763</v>
      </c>
      <c r="M10" s="9">
        <f>(J10-K10)/K55*100</f>
        <v>-0.13074252487150467</v>
      </c>
      <c r="N10" s="9">
        <f>(J10-L10)/L55*100</f>
        <v>-0.55580050496379618</v>
      </c>
    </row>
    <row r="11" spans="1:19" x14ac:dyDescent="0.3">
      <c r="A11" s="6">
        <v>8</v>
      </c>
      <c r="B11" s="7" t="s">
        <v>328</v>
      </c>
      <c r="C11" s="6" t="s">
        <v>27</v>
      </c>
      <c r="D11" s="6" t="s">
        <v>28</v>
      </c>
      <c r="E11" s="8">
        <v>79.31</v>
      </c>
      <c r="F11" s="9">
        <v>18.393699999999999</v>
      </c>
      <c r="G11" s="8">
        <v>224.25</v>
      </c>
      <c r="H11" s="8">
        <v>224.2</v>
      </c>
      <c r="I11" s="8">
        <v>205.08</v>
      </c>
      <c r="J11" s="9">
        <f t="shared" si="0"/>
        <v>52.008400000000002</v>
      </c>
      <c r="K11" s="9">
        <f t="shared" si="1"/>
        <v>51.9968</v>
      </c>
      <c r="L11" s="9">
        <f t="shared" si="2"/>
        <v>47.5625</v>
      </c>
      <c r="M11" s="9">
        <f>(J11-K11)/K55*100</f>
        <v>3.2378592837524187E-3</v>
      </c>
      <c r="N11" s="9">
        <f>(J11-L11)/L55*100</f>
        <v>1.3509559154876944</v>
      </c>
    </row>
    <row r="12" spans="1:19" x14ac:dyDescent="0.3">
      <c r="A12" s="6">
        <v>9</v>
      </c>
      <c r="B12" s="7" t="s">
        <v>329</v>
      </c>
      <c r="C12" s="6" t="s">
        <v>29</v>
      </c>
      <c r="D12" s="6" t="s">
        <v>20</v>
      </c>
      <c r="E12" s="8">
        <v>97.34</v>
      </c>
      <c r="F12" s="9">
        <v>1.8181</v>
      </c>
      <c r="G12" s="8">
        <v>282.06</v>
      </c>
      <c r="H12" s="8">
        <v>281.99</v>
      </c>
      <c r="I12" s="8">
        <v>258.8</v>
      </c>
      <c r="J12" s="9">
        <f t="shared" si="0"/>
        <v>5.2683</v>
      </c>
      <c r="K12" s="9">
        <f t="shared" si="1"/>
        <v>5.2670000000000003</v>
      </c>
      <c r="L12" s="9">
        <f t="shared" si="2"/>
        <v>4.8338000000000001</v>
      </c>
      <c r="M12" s="9">
        <f>(J12-K12)/K55*100</f>
        <v>3.6286354042038433E-4</v>
      </c>
      <c r="N12" s="9">
        <f>(J12-L12)/L55*100</f>
        <v>0.13202958799779635</v>
      </c>
    </row>
    <row r="13" spans="1:19" x14ac:dyDescent="0.3">
      <c r="A13" s="6">
        <v>10</v>
      </c>
      <c r="B13" s="7" t="s">
        <v>330</v>
      </c>
      <c r="C13" s="6" t="s">
        <v>30</v>
      </c>
      <c r="D13" s="6" t="s">
        <v>23</v>
      </c>
      <c r="E13" s="8">
        <v>363.01</v>
      </c>
      <c r="F13" s="9">
        <v>0.38169999999999998</v>
      </c>
      <c r="G13" s="8">
        <v>1159.43</v>
      </c>
      <c r="H13" s="8">
        <v>1158.99</v>
      </c>
      <c r="I13" s="8">
        <v>1086.6300000000001</v>
      </c>
      <c r="J13" s="9">
        <f t="shared" si="0"/>
        <v>1.2191000000000001</v>
      </c>
      <c r="K13" s="9">
        <f t="shared" si="1"/>
        <v>1.2186999999999999</v>
      </c>
      <c r="L13" s="9">
        <f t="shared" si="2"/>
        <v>1.1426000000000001</v>
      </c>
      <c r="M13" s="9">
        <f>(J13-K13)/K55*100</f>
        <v>1.1165032012943009E-4</v>
      </c>
      <c r="N13" s="9">
        <f>(J13-L13)/L55*100</f>
        <v>2.3245715723432508E-2</v>
      </c>
    </row>
    <row r="14" spans="1:19" x14ac:dyDescent="0.3">
      <c r="A14" s="6">
        <v>11</v>
      </c>
      <c r="B14" s="7" t="s">
        <v>331</v>
      </c>
      <c r="C14" s="6" t="s">
        <v>31</v>
      </c>
      <c r="D14" s="6" t="s">
        <v>32</v>
      </c>
      <c r="E14" s="8">
        <v>87.46</v>
      </c>
      <c r="F14" s="9">
        <v>1.4423999999999999</v>
      </c>
      <c r="G14" s="8">
        <v>259.16000000000003</v>
      </c>
      <c r="H14" s="8">
        <v>242.74</v>
      </c>
      <c r="I14" s="8">
        <v>283.42</v>
      </c>
      <c r="J14" s="9">
        <f t="shared" si="0"/>
        <v>4.2740999999999998</v>
      </c>
      <c r="K14" s="9">
        <f t="shared" si="1"/>
        <v>4.0033000000000003</v>
      </c>
      <c r="L14" s="9">
        <f t="shared" si="2"/>
        <v>4.6741999999999999</v>
      </c>
      <c r="M14" s="9">
        <f>(J14-K14)/K55*100</f>
        <v>7.5587266727590391E-2</v>
      </c>
      <c r="N14" s="9">
        <f>(J14-L14)/L55*100</f>
        <v>-0.12157661256137711</v>
      </c>
    </row>
    <row r="15" spans="1:19" x14ac:dyDescent="0.3">
      <c r="A15" s="6">
        <v>12</v>
      </c>
      <c r="B15" s="7" t="s">
        <v>332</v>
      </c>
      <c r="C15" s="6" t="s">
        <v>33</v>
      </c>
      <c r="D15" s="6" t="s">
        <v>20</v>
      </c>
      <c r="E15" s="8">
        <v>180.01</v>
      </c>
      <c r="F15" s="9">
        <v>3.4099999999999998E-2</v>
      </c>
      <c r="G15" s="8">
        <v>564.65</v>
      </c>
      <c r="H15" s="8">
        <v>563.87</v>
      </c>
      <c r="I15" s="8">
        <v>544.27</v>
      </c>
      <c r="J15" s="9">
        <f t="shared" si="0"/>
        <v>0.107</v>
      </c>
      <c r="K15" s="9">
        <f t="shared" si="1"/>
        <v>0.10680000000000001</v>
      </c>
      <c r="L15" s="9">
        <f t="shared" si="2"/>
        <v>0.1031</v>
      </c>
      <c r="M15" s="9">
        <f>(J15-K15)/K55*100</f>
        <v>5.5825160064687926E-5</v>
      </c>
      <c r="N15" s="9">
        <f>(J15-L15)/L55*100</f>
        <v>1.1850757035475397E-3</v>
      </c>
    </row>
    <row r="16" spans="1:19" x14ac:dyDescent="0.3">
      <c r="A16" s="6">
        <v>13</v>
      </c>
      <c r="B16" s="7" t="s">
        <v>333</v>
      </c>
      <c r="C16" s="6" t="s">
        <v>34</v>
      </c>
      <c r="D16" s="6" t="s">
        <v>23</v>
      </c>
      <c r="E16" s="8">
        <v>882.81</v>
      </c>
      <c r="F16" s="9">
        <v>3.1259999999999999</v>
      </c>
      <c r="G16" s="8">
        <v>3066.54</v>
      </c>
      <c r="H16" s="8">
        <v>3065.15</v>
      </c>
      <c r="I16" s="8">
        <v>2862.82</v>
      </c>
      <c r="J16" s="9">
        <f t="shared" si="0"/>
        <v>10.858499999999999</v>
      </c>
      <c r="K16" s="9">
        <f t="shared" si="1"/>
        <v>10.8536</v>
      </c>
      <c r="L16" s="9">
        <f t="shared" si="2"/>
        <v>10.1371</v>
      </c>
      <c r="M16" s="9">
        <f>(J16-K16)/K55*100</f>
        <v>1.3677164215846974E-3</v>
      </c>
      <c r="N16" s="9">
        <f>(J16-L16)/L55*100</f>
        <v>0.21920861859979335</v>
      </c>
    </row>
    <row r="17" spans="1:14" x14ac:dyDescent="0.3">
      <c r="A17" s="6">
        <v>14</v>
      </c>
      <c r="B17" s="7" t="s">
        <v>334</v>
      </c>
      <c r="C17" s="6" t="s">
        <v>35</v>
      </c>
      <c r="D17" s="6" t="s">
        <v>23</v>
      </c>
      <c r="E17" s="8">
        <v>440.06</v>
      </c>
      <c r="F17" s="9">
        <v>1.4648000000000001</v>
      </c>
      <c r="G17" s="8">
        <v>1562.4</v>
      </c>
      <c r="H17" s="8">
        <v>1561.43</v>
      </c>
      <c r="I17" s="8">
        <v>1460.04</v>
      </c>
      <c r="J17" s="9">
        <f t="shared" si="0"/>
        <v>5.2007000000000003</v>
      </c>
      <c r="K17" s="9">
        <f t="shared" si="1"/>
        <v>5.1974</v>
      </c>
      <c r="L17" s="9">
        <f t="shared" si="2"/>
        <v>4.8598999999999997</v>
      </c>
      <c r="M17" s="9">
        <f>(J17-K17)/K55*100</f>
        <v>9.2111514106747272E-4</v>
      </c>
      <c r="N17" s="9">
        <f>(J17-L17)/L55*100</f>
        <v>0.10355738455615443</v>
      </c>
    </row>
    <row r="18" spans="1:14" x14ac:dyDescent="0.3">
      <c r="A18" s="6">
        <v>15</v>
      </c>
      <c r="B18" s="7" t="s">
        <v>335</v>
      </c>
      <c r="C18" s="6" t="s">
        <v>36</v>
      </c>
      <c r="D18" s="6" t="s">
        <v>23</v>
      </c>
      <c r="E18" s="8">
        <v>157.02000000000001</v>
      </c>
      <c r="F18" s="9">
        <v>1.4648000000000001</v>
      </c>
      <c r="G18" s="8">
        <v>610.14</v>
      </c>
      <c r="H18" s="8">
        <v>609.38</v>
      </c>
      <c r="I18" s="8">
        <v>568.19000000000005</v>
      </c>
      <c r="J18" s="9">
        <f t="shared" si="0"/>
        <v>5.6917999999999997</v>
      </c>
      <c r="K18" s="9">
        <f t="shared" si="1"/>
        <v>5.6848000000000001</v>
      </c>
      <c r="L18" s="9">
        <f t="shared" si="2"/>
        <v>5.3005000000000004</v>
      </c>
      <c r="M18" s="9">
        <f>(J18-K18)/K55*100</f>
        <v>1.9538806022640657E-3</v>
      </c>
      <c r="N18" s="9">
        <f>(J18-L18)/L55*100</f>
        <v>0.11890259558926959</v>
      </c>
    </row>
    <row r="19" spans="1:14" x14ac:dyDescent="0.3">
      <c r="A19" s="6">
        <v>16</v>
      </c>
      <c r="B19" s="7" t="s">
        <v>336</v>
      </c>
      <c r="C19" s="6" t="s">
        <v>37</v>
      </c>
      <c r="D19" s="6" t="s">
        <v>32</v>
      </c>
      <c r="E19" s="8">
        <v>69.39</v>
      </c>
      <c r="F19" s="9">
        <v>0.94130000000000003</v>
      </c>
      <c r="G19" s="8">
        <v>190.61</v>
      </c>
      <c r="H19" s="8">
        <v>190.25</v>
      </c>
      <c r="I19" s="8">
        <v>162.94</v>
      </c>
      <c r="J19" s="9">
        <f t="shared" si="0"/>
        <v>2.5857000000000001</v>
      </c>
      <c r="K19" s="9">
        <f t="shared" si="1"/>
        <v>2.5808</v>
      </c>
      <c r="L19" s="9">
        <f t="shared" si="2"/>
        <v>2.2103000000000002</v>
      </c>
      <c r="M19" s="9">
        <f>(J19-K19)/K55*100</f>
        <v>1.3677164215849451E-3</v>
      </c>
      <c r="N19" s="9">
        <f>(J19-L19)/L55*100</f>
        <v>0.11407113310557598</v>
      </c>
    </row>
    <row r="20" spans="1:14" x14ac:dyDescent="0.3">
      <c r="A20" s="6">
        <v>17</v>
      </c>
      <c r="B20" s="7" t="s">
        <v>337</v>
      </c>
      <c r="C20" s="6" t="s">
        <v>38</v>
      </c>
      <c r="D20" s="6" t="s">
        <v>20</v>
      </c>
      <c r="E20" s="8">
        <v>148.72999999999999</v>
      </c>
      <c r="F20" s="9">
        <v>0.46079999999999999</v>
      </c>
      <c r="G20" s="8">
        <v>252.71</v>
      </c>
      <c r="H20" s="8">
        <v>253.23</v>
      </c>
      <c r="I20" s="8">
        <v>296.10000000000002</v>
      </c>
      <c r="J20" s="9">
        <f t="shared" si="0"/>
        <v>0.78300000000000003</v>
      </c>
      <c r="K20" s="9">
        <f t="shared" si="1"/>
        <v>0.78459999999999996</v>
      </c>
      <c r="L20" s="9">
        <f t="shared" si="2"/>
        <v>0.91739999999999999</v>
      </c>
      <c r="M20" s="9">
        <f>(J20-K20)/K55*100</f>
        <v>-4.4660128051750341E-4</v>
      </c>
      <c r="N20" s="9">
        <f>(J20-L20)/L55*100</f>
        <v>-4.0839531937638271E-2</v>
      </c>
    </row>
    <row r="21" spans="1:14" x14ac:dyDescent="0.3">
      <c r="A21" s="6">
        <v>18</v>
      </c>
      <c r="B21" s="7" t="s">
        <v>338</v>
      </c>
      <c r="C21" s="6" t="s">
        <v>39</v>
      </c>
      <c r="D21" s="6" t="s">
        <v>20</v>
      </c>
      <c r="E21" s="8">
        <v>160.72</v>
      </c>
      <c r="F21" s="9">
        <v>0.48159999999999997</v>
      </c>
      <c r="G21" s="8">
        <v>361.61</v>
      </c>
      <c r="H21" s="8">
        <v>362.64</v>
      </c>
      <c r="I21" s="8">
        <v>387.36</v>
      </c>
      <c r="J21" s="9">
        <f t="shared" si="0"/>
        <v>1.0835999999999999</v>
      </c>
      <c r="K21" s="9">
        <f t="shared" si="1"/>
        <v>1.0867</v>
      </c>
      <c r="L21" s="9">
        <f t="shared" si="2"/>
        <v>1.1607000000000001</v>
      </c>
      <c r="M21" s="9">
        <f>(J21-K21)/K55*100</f>
        <v>-8.6528998100272674E-4</v>
      </c>
      <c r="N21" s="9">
        <f>(J21-L21)/L55*100</f>
        <v>-2.3428035062439873E-2</v>
      </c>
    </row>
    <row r="22" spans="1:14" x14ac:dyDescent="0.3">
      <c r="A22" s="6">
        <v>19</v>
      </c>
      <c r="B22" s="7" t="s">
        <v>339</v>
      </c>
      <c r="C22" s="6" t="s">
        <v>40</v>
      </c>
      <c r="D22" s="6" t="s">
        <v>20</v>
      </c>
      <c r="E22" s="8">
        <v>236.58</v>
      </c>
      <c r="F22" s="9">
        <v>0.32690000000000002</v>
      </c>
      <c r="G22" s="8">
        <v>453.81</v>
      </c>
      <c r="H22" s="8">
        <v>455.39</v>
      </c>
      <c r="I22" s="8">
        <v>443.2</v>
      </c>
      <c r="J22" s="9">
        <f t="shared" si="0"/>
        <v>0.62709999999999999</v>
      </c>
      <c r="K22" s="9">
        <f t="shared" si="1"/>
        <v>0.62919999999999998</v>
      </c>
      <c r="L22" s="9">
        <f t="shared" si="2"/>
        <v>0.61240000000000006</v>
      </c>
      <c r="M22" s="9">
        <f>(J22-K22)/K55*100</f>
        <v>-5.8616418067924448E-4</v>
      </c>
      <c r="N22" s="9">
        <f>(J22-L22)/L55*100</f>
        <v>4.4668238056791683E-3</v>
      </c>
    </row>
    <row r="23" spans="1:14" x14ac:dyDescent="0.3">
      <c r="A23" s="6">
        <v>20</v>
      </c>
      <c r="B23" s="7" t="s">
        <v>340</v>
      </c>
      <c r="C23" s="6" t="s">
        <v>41</v>
      </c>
      <c r="D23" s="6" t="s">
        <v>20</v>
      </c>
      <c r="E23" s="8">
        <v>119.53</v>
      </c>
      <c r="F23" s="9">
        <v>0.47110000000000002</v>
      </c>
      <c r="G23" s="8">
        <v>243.19</v>
      </c>
      <c r="H23" s="8">
        <v>242.67</v>
      </c>
      <c r="I23" s="8">
        <v>304.14</v>
      </c>
      <c r="J23" s="9">
        <f t="shared" si="0"/>
        <v>0.95850000000000002</v>
      </c>
      <c r="K23" s="9">
        <f t="shared" si="1"/>
        <v>0.95640000000000003</v>
      </c>
      <c r="L23" s="9">
        <f t="shared" si="2"/>
        <v>1.1987000000000001</v>
      </c>
      <c r="M23" s="9">
        <f>(J23-K23)/K55*100</f>
        <v>5.8616418067924448E-4</v>
      </c>
      <c r="N23" s="9">
        <f>(J23-L23)/L55*100</f>
        <v>-7.2988508715927977E-2</v>
      </c>
    </row>
    <row r="24" spans="1:14" x14ac:dyDescent="0.3">
      <c r="A24" s="6">
        <v>21</v>
      </c>
      <c r="B24" s="7" t="s">
        <v>341</v>
      </c>
      <c r="C24" s="6" t="s">
        <v>42</v>
      </c>
      <c r="D24" s="6" t="s">
        <v>20</v>
      </c>
      <c r="E24" s="8">
        <v>24.79</v>
      </c>
      <c r="F24" s="9">
        <v>1.2157</v>
      </c>
      <c r="G24" s="8">
        <v>58.04</v>
      </c>
      <c r="H24" s="8">
        <v>57.4</v>
      </c>
      <c r="I24" s="8">
        <v>84.25</v>
      </c>
      <c r="J24" s="9">
        <f t="shared" si="0"/>
        <v>2.8462999999999998</v>
      </c>
      <c r="K24" s="9">
        <f t="shared" si="1"/>
        <v>2.8149000000000002</v>
      </c>
      <c r="L24" s="9">
        <f t="shared" si="2"/>
        <v>4.1315999999999997</v>
      </c>
      <c r="M24" s="9">
        <f>(J24-K24)/K55*100</f>
        <v>8.7645501301562637E-3</v>
      </c>
      <c r="N24" s="9">
        <f>(J24-L24)/L55*100</f>
        <v>-0.39055841071016734</v>
      </c>
    </row>
    <row r="25" spans="1:14" x14ac:dyDescent="0.3">
      <c r="A25" s="6">
        <v>22</v>
      </c>
      <c r="B25" s="7" t="s">
        <v>342</v>
      </c>
      <c r="C25" s="6" t="s">
        <v>43</v>
      </c>
      <c r="D25" s="6" t="s">
        <v>20</v>
      </c>
      <c r="E25" s="8">
        <v>43.08</v>
      </c>
      <c r="F25" s="9">
        <v>1.6821999999999999</v>
      </c>
      <c r="G25" s="8">
        <v>102.45</v>
      </c>
      <c r="H25" s="8">
        <v>107.1</v>
      </c>
      <c r="I25" s="8">
        <v>55.86</v>
      </c>
      <c r="J25" s="9">
        <f t="shared" si="0"/>
        <v>4.0004999999999997</v>
      </c>
      <c r="K25" s="9">
        <f t="shared" si="1"/>
        <v>4.1821000000000002</v>
      </c>
      <c r="L25" s="9">
        <f t="shared" si="2"/>
        <v>2.1812</v>
      </c>
      <c r="M25" s="9">
        <f>(J25-K25)/K55*100</f>
        <v>-5.0689245338738816E-2</v>
      </c>
      <c r="N25" s="9">
        <f>(J25-L25)/L55*100</f>
        <v>0.55282262242667646</v>
      </c>
    </row>
    <row r="26" spans="1:14" x14ac:dyDescent="0.3">
      <c r="A26" s="6">
        <v>23</v>
      </c>
      <c r="B26" s="7" t="s">
        <v>343</v>
      </c>
      <c r="C26" s="6" t="s">
        <v>44</v>
      </c>
      <c r="D26" s="6" t="s">
        <v>20</v>
      </c>
      <c r="E26" s="8">
        <v>46.04</v>
      </c>
      <c r="F26" s="9">
        <v>0.98160000000000003</v>
      </c>
      <c r="G26" s="8">
        <v>356.88</v>
      </c>
      <c r="H26" s="8">
        <v>258.89999999999998</v>
      </c>
      <c r="I26" s="8">
        <v>114.09</v>
      </c>
      <c r="J26" s="9">
        <f t="shared" si="0"/>
        <v>7.6089000000000002</v>
      </c>
      <c r="K26" s="9">
        <f t="shared" si="1"/>
        <v>5.5198999999999998</v>
      </c>
      <c r="L26" s="9">
        <f t="shared" si="2"/>
        <v>2.4325000000000001</v>
      </c>
      <c r="M26" s="9">
        <f>(J26-K26)/K55*100</f>
        <v>0.58309379687568919</v>
      </c>
      <c r="N26" s="9">
        <f>(J26-L26)/L55*100</f>
        <v>1.5729297107290985</v>
      </c>
    </row>
    <row r="27" spans="1:14" x14ac:dyDescent="0.3">
      <c r="A27" s="6">
        <v>24</v>
      </c>
      <c r="B27" s="7" t="s">
        <v>344</v>
      </c>
      <c r="C27" s="6" t="s">
        <v>45</v>
      </c>
      <c r="D27" s="6" t="s">
        <v>20</v>
      </c>
      <c r="E27" s="8">
        <v>63.01</v>
      </c>
      <c r="F27" s="9">
        <v>3.1583999999999999</v>
      </c>
      <c r="G27" s="8">
        <v>149.66</v>
      </c>
      <c r="H27" s="8">
        <v>149.85</v>
      </c>
      <c r="I27" s="8">
        <v>181.48</v>
      </c>
      <c r="J27" s="9">
        <f t="shared" si="0"/>
        <v>7.5018000000000002</v>
      </c>
      <c r="K27" s="9">
        <f t="shared" si="1"/>
        <v>7.5113000000000003</v>
      </c>
      <c r="L27" s="9">
        <f t="shared" si="2"/>
        <v>9.0968</v>
      </c>
      <c r="M27" s="9">
        <f>(J27-K27)/K55*100</f>
        <v>-2.6516951030728024E-3</v>
      </c>
      <c r="N27" s="9">
        <f>(J27-L27)/L55*100</f>
        <v>-0.48466557619444245</v>
      </c>
    </row>
    <row r="28" spans="1:14" x14ac:dyDescent="0.3">
      <c r="A28" s="6">
        <v>25</v>
      </c>
      <c r="B28" s="7" t="s">
        <v>345</v>
      </c>
      <c r="C28" s="6" t="s">
        <v>46</v>
      </c>
      <c r="D28" s="6" t="s">
        <v>20</v>
      </c>
      <c r="E28" s="8">
        <v>88.44</v>
      </c>
      <c r="F28" s="9">
        <v>0.1075</v>
      </c>
      <c r="G28" s="8">
        <v>242.26</v>
      </c>
      <c r="H28" s="8">
        <v>242.23</v>
      </c>
      <c r="I28" s="8">
        <v>249.12</v>
      </c>
      <c r="J28" s="9">
        <f t="shared" si="0"/>
        <v>0.29449999999999998</v>
      </c>
      <c r="K28" s="9">
        <f t="shared" si="1"/>
        <v>0.2944</v>
      </c>
      <c r="L28" s="9">
        <f t="shared" si="2"/>
        <v>0.30280000000000001</v>
      </c>
      <c r="M28" s="9">
        <f>(J28-K28)/K55*100</f>
        <v>2.7912580032342025E-5</v>
      </c>
      <c r="N28" s="9">
        <f>(J28-L28)/L55*100</f>
        <v>-2.5220841896011832E-3</v>
      </c>
    </row>
    <row r="29" spans="1:14" x14ac:dyDescent="0.3">
      <c r="A29" s="6">
        <v>26</v>
      </c>
      <c r="B29" s="7" t="s">
        <v>346</v>
      </c>
      <c r="C29" s="6" t="s">
        <v>47</v>
      </c>
      <c r="D29" s="6" t="s">
        <v>23</v>
      </c>
      <c r="E29" s="8">
        <v>24.99</v>
      </c>
      <c r="F29" s="9">
        <v>0.22789999999999999</v>
      </c>
      <c r="G29" s="8">
        <v>62.14</v>
      </c>
      <c r="H29" s="8">
        <v>62.14</v>
      </c>
      <c r="I29" s="8">
        <v>72.77</v>
      </c>
      <c r="J29" s="9">
        <f t="shared" si="0"/>
        <v>0.56669999999999998</v>
      </c>
      <c r="K29" s="9">
        <f t="shared" si="1"/>
        <v>0.56669999999999998</v>
      </c>
      <c r="L29" s="9">
        <f t="shared" si="2"/>
        <v>0.66359999999999997</v>
      </c>
      <c r="M29" s="9">
        <f>(J29-K29)/K55*100</f>
        <v>0</v>
      </c>
      <c r="N29" s="9">
        <f>(J29-L29)/L55*100</f>
        <v>-2.944457324968117E-2</v>
      </c>
    </row>
    <row r="30" spans="1:14" x14ac:dyDescent="0.3">
      <c r="A30" s="6">
        <v>27</v>
      </c>
      <c r="B30" s="7" t="s">
        <v>347</v>
      </c>
      <c r="C30" s="6" t="s">
        <v>48</v>
      </c>
      <c r="D30" s="6" t="s">
        <v>23</v>
      </c>
      <c r="E30" s="8">
        <v>105</v>
      </c>
      <c r="F30" s="9">
        <v>0.84540000000000004</v>
      </c>
      <c r="G30" s="8">
        <v>378.9</v>
      </c>
      <c r="H30" s="8">
        <v>378.9</v>
      </c>
      <c r="I30" s="8">
        <v>320</v>
      </c>
      <c r="J30" s="9">
        <f t="shared" si="0"/>
        <v>3.0507</v>
      </c>
      <c r="K30" s="9">
        <f t="shared" si="1"/>
        <v>3.0507</v>
      </c>
      <c r="L30" s="9">
        <f t="shared" si="2"/>
        <v>2.5764999999999998</v>
      </c>
      <c r="M30" s="9">
        <f>(J30-K30)/K55*100</f>
        <v>0</v>
      </c>
      <c r="N30" s="9">
        <f>(J30-L30)/L55*100</f>
        <v>0.14409305092878039</v>
      </c>
    </row>
    <row r="31" spans="1:14" x14ac:dyDescent="0.3">
      <c r="A31" s="6">
        <v>28</v>
      </c>
      <c r="B31" s="7" t="s">
        <v>348</v>
      </c>
      <c r="C31" s="6" t="s">
        <v>49</v>
      </c>
      <c r="D31" s="6" t="s">
        <v>20</v>
      </c>
      <c r="E31" s="8">
        <v>203.97</v>
      </c>
      <c r="F31" s="9">
        <v>0.57950000000000002</v>
      </c>
      <c r="G31" s="8">
        <v>367.05</v>
      </c>
      <c r="H31" s="8">
        <v>366.66</v>
      </c>
      <c r="I31" s="8">
        <v>373.34</v>
      </c>
      <c r="J31" s="9">
        <f t="shared" si="0"/>
        <v>1.0427999999999999</v>
      </c>
      <c r="K31" s="9">
        <f t="shared" si="1"/>
        <v>1.0417000000000001</v>
      </c>
      <c r="L31" s="9">
        <f t="shared" si="2"/>
        <v>1.0607</v>
      </c>
      <c r="M31" s="9">
        <f>(J31-K31)/K55*100</f>
        <v>3.0703838035576228E-4</v>
      </c>
      <c r="N31" s="9">
        <f>(J31-L31)/L55*100</f>
        <v>-5.4391936137182031E-3</v>
      </c>
    </row>
    <row r="32" spans="1:14" x14ac:dyDescent="0.3">
      <c r="A32" s="6">
        <v>29</v>
      </c>
      <c r="B32" s="7" t="s">
        <v>349</v>
      </c>
      <c r="C32" s="6" t="s">
        <v>50</v>
      </c>
      <c r="D32" s="6" t="s">
        <v>23</v>
      </c>
      <c r="E32" s="8">
        <v>163.58000000000001</v>
      </c>
      <c r="F32" s="9">
        <v>2.3913000000000002</v>
      </c>
      <c r="G32" s="8">
        <v>460.85</v>
      </c>
      <c r="H32" s="8">
        <v>458.2</v>
      </c>
      <c r="I32" s="8">
        <v>447.09</v>
      </c>
      <c r="J32" s="9">
        <f t="shared" si="0"/>
        <v>6.7370000000000001</v>
      </c>
      <c r="K32" s="9">
        <f t="shared" si="1"/>
        <v>6.6981999999999999</v>
      </c>
      <c r="L32" s="9">
        <f t="shared" si="2"/>
        <v>6.5358000000000001</v>
      </c>
      <c r="M32" s="9">
        <f>(J32-K32)/K55*100</f>
        <v>1.0830081052549945E-2</v>
      </c>
      <c r="N32" s="9">
        <f>(J32-L32)/L55*100</f>
        <v>6.1137751680452566E-2</v>
      </c>
    </row>
    <row r="33" spans="1:14" x14ac:dyDescent="0.3">
      <c r="A33" s="6">
        <v>30</v>
      </c>
      <c r="B33" s="7" t="s">
        <v>350</v>
      </c>
      <c r="C33" s="6" t="s">
        <v>51</v>
      </c>
      <c r="D33" s="6" t="s">
        <v>52</v>
      </c>
      <c r="E33" s="8">
        <v>78.430000000000007</v>
      </c>
      <c r="F33" s="9">
        <v>1.0497000000000001</v>
      </c>
      <c r="G33" s="8">
        <v>339.36</v>
      </c>
      <c r="H33" s="8">
        <v>339.16</v>
      </c>
      <c r="I33" s="8">
        <v>320.92</v>
      </c>
      <c r="J33" s="9">
        <f t="shared" si="0"/>
        <v>4.5419999999999998</v>
      </c>
      <c r="K33" s="9">
        <f t="shared" si="1"/>
        <v>4.5392999999999999</v>
      </c>
      <c r="L33" s="9">
        <f t="shared" si="2"/>
        <v>4.2952000000000004</v>
      </c>
      <c r="M33" s="9">
        <f>(J33-K33)/K55*100</f>
        <v>7.5363966087329658E-4</v>
      </c>
      <c r="N33" s="9">
        <f>(J33-L33)/L55*100</f>
        <v>7.4994021445008247E-2</v>
      </c>
    </row>
    <row r="34" spans="1:14" x14ac:dyDescent="0.3">
      <c r="A34" s="6">
        <v>31</v>
      </c>
      <c r="B34" s="7" t="s">
        <v>351</v>
      </c>
      <c r="C34" s="6" t="s">
        <v>53</v>
      </c>
      <c r="D34" s="6" t="s">
        <v>52</v>
      </c>
      <c r="E34" s="8">
        <v>51.13</v>
      </c>
      <c r="F34" s="9">
        <v>1.3013999999999999</v>
      </c>
      <c r="G34" s="8">
        <v>182.73</v>
      </c>
      <c r="H34" s="8">
        <v>182.52</v>
      </c>
      <c r="I34" s="8">
        <v>178.35</v>
      </c>
      <c r="J34" s="9">
        <f t="shared" si="0"/>
        <v>4.6509999999999998</v>
      </c>
      <c r="K34" s="9">
        <f t="shared" si="1"/>
        <v>4.6456</v>
      </c>
      <c r="L34" s="9">
        <f t="shared" si="2"/>
        <v>4.5395000000000003</v>
      </c>
      <c r="M34" s="9">
        <f>(J34-K34)/K55*100</f>
        <v>1.5072793217465932E-3</v>
      </c>
      <c r="N34" s="9">
        <f>(J34-L34)/L55*100</f>
        <v>3.3881010498858985E-2</v>
      </c>
    </row>
    <row r="35" spans="1:14" x14ac:dyDescent="0.3">
      <c r="A35" s="6">
        <v>32</v>
      </c>
      <c r="B35" s="7" t="s">
        <v>352</v>
      </c>
      <c r="C35" s="6" t="s">
        <v>54</v>
      </c>
      <c r="D35" s="6" t="s">
        <v>55</v>
      </c>
      <c r="E35" s="8">
        <v>19.47</v>
      </c>
      <c r="F35" s="9">
        <v>2.3563999999999998</v>
      </c>
      <c r="G35" s="8">
        <v>68.86</v>
      </c>
      <c r="H35" s="8">
        <v>68.62</v>
      </c>
      <c r="I35" s="8">
        <v>63.97</v>
      </c>
      <c r="J35" s="9">
        <f t="shared" si="0"/>
        <v>8.3338999999999999</v>
      </c>
      <c r="K35" s="9">
        <f t="shared" si="1"/>
        <v>8.3048999999999999</v>
      </c>
      <c r="L35" s="9">
        <f t="shared" si="2"/>
        <v>7.7420999999999998</v>
      </c>
      <c r="M35" s="9">
        <f>(J35-K35)/K55*100</f>
        <v>8.0946482093800561E-3</v>
      </c>
      <c r="N35" s="9">
        <f>(J35-L35)/L55*100</f>
        <v>0.17982764137421386</v>
      </c>
    </row>
    <row r="36" spans="1:14" x14ac:dyDescent="0.3">
      <c r="A36" s="6">
        <v>33</v>
      </c>
      <c r="B36" s="7" t="s">
        <v>353</v>
      </c>
      <c r="C36" s="6" t="s">
        <v>56</v>
      </c>
      <c r="D36" s="6" t="s">
        <v>23</v>
      </c>
      <c r="E36" s="8">
        <v>59.33</v>
      </c>
      <c r="F36" s="9">
        <v>1.0931</v>
      </c>
      <c r="G36" s="8">
        <v>256.56</v>
      </c>
      <c r="H36" s="8">
        <v>256.56</v>
      </c>
      <c r="I36" s="8">
        <v>243.73</v>
      </c>
      <c r="J36" s="9">
        <f t="shared" ref="J36:J54" si="3">ROUND(ROUND(ROUND(G36*F36,4)*100/E36,4)/100,4)</f>
        <v>4.7268999999999997</v>
      </c>
      <c r="K36" s="9">
        <f t="shared" ref="K36:K54" si="4">ROUND(ROUND(ROUND(H36*F36,4)*100/E36,4)/100,4)</f>
        <v>4.7268999999999997</v>
      </c>
      <c r="L36" s="9">
        <f t="shared" ref="L36:L54" si="5">ROUND(ROUND(ROUND(I36*F36,4)*100/E36,4)/100,4)</f>
        <v>4.4904999999999999</v>
      </c>
      <c r="M36" s="9">
        <f>(J36-K36)/K55*100</f>
        <v>0</v>
      </c>
      <c r="N36" s="9">
        <f>(J36-L36)/L55*100</f>
        <v>7.1833819568881546E-2</v>
      </c>
    </row>
    <row r="37" spans="1:14" x14ac:dyDescent="0.3">
      <c r="A37" s="6">
        <v>34</v>
      </c>
      <c r="B37" s="7" t="s">
        <v>354</v>
      </c>
      <c r="C37" s="6" t="s">
        <v>57</v>
      </c>
      <c r="D37" s="6" t="s">
        <v>58</v>
      </c>
      <c r="E37" s="8">
        <v>205.42</v>
      </c>
      <c r="F37" s="9">
        <v>3.9577</v>
      </c>
      <c r="G37" s="8">
        <v>753.5</v>
      </c>
      <c r="H37" s="8">
        <v>753.5</v>
      </c>
      <c r="I37" s="8">
        <v>711.66</v>
      </c>
      <c r="J37" s="9">
        <f t="shared" si="3"/>
        <v>14.517200000000001</v>
      </c>
      <c r="K37" s="9">
        <f t="shared" si="4"/>
        <v>14.517200000000001</v>
      </c>
      <c r="L37" s="9">
        <f t="shared" si="5"/>
        <v>13.7111</v>
      </c>
      <c r="M37" s="9">
        <f>(J37-K37)/K55*100</f>
        <v>0</v>
      </c>
      <c r="N37" s="9">
        <f>(J37-L37)/L55*100</f>
        <v>0.24494603195632628</v>
      </c>
    </row>
    <row r="38" spans="1:14" x14ac:dyDescent="0.3">
      <c r="A38" s="6">
        <v>35</v>
      </c>
      <c r="B38" s="7" t="s">
        <v>355</v>
      </c>
      <c r="C38" s="6" t="s">
        <v>59</v>
      </c>
      <c r="D38" s="6" t="s">
        <v>58</v>
      </c>
      <c r="E38" s="8">
        <v>154.02000000000001</v>
      </c>
      <c r="F38" s="9">
        <v>0.10100000000000001</v>
      </c>
      <c r="G38" s="8">
        <v>579.35</v>
      </c>
      <c r="H38" s="8">
        <v>579.35</v>
      </c>
      <c r="I38" s="8">
        <v>543.91999999999996</v>
      </c>
      <c r="J38" s="9">
        <f t="shared" si="3"/>
        <v>0.37990000000000002</v>
      </c>
      <c r="K38" s="9">
        <f t="shared" si="4"/>
        <v>0.37990000000000002</v>
      </c>
      <c r="L38" s="9">
        <f t="shared" si="5"/>
        <v>0.35670000000000002</v>
      </c>
      <c r="M38" s="9">
        <f>(J38-K38)/K55*100</f>
        <v>0</v>
      </c>
      <c r="N38" s="9">
        <f>(J38-L38)/L55*100</f>
        <v>7.0496811082827989E-3</v>
      </c>
    </row>
    <row r="39" spans="1:14" x14ac:dyDescent="0.3">
      <c r="A39" s="6">
        <v>36</v>
      </c>
      <c r="B39" s="7" t="s">
        <v>356</v>
      </c>
      <c r="C39" s="6" t="s">
        <v>60</v>
      </c>
      <c r="D39" s="6" t="s">
        <v>58</v>
      </c>
      <c r="E39" s="8">
        <v>273.45999999999998</v>
      </c>
      <c r="F39" s="9">
        <v>2.1473</v>
      </c>
      <c r="G39" s="8">
        <v>744.33</v>
      </c>
      <c r="H39" s="8">
        <v>744.33</v>
      </c>
      <c r="I39" s="8">
        <v>714.74</v>
      </c>
      <c r="J39" s="9">
        <f t="shared" si="3"/>
        <v>5.8446999999999996</v>
      </c>
      <c r="K39" s="9">
        <f t="shared" si="4"/>
        <v>5.8446999999999996</v>
      </c>
      <c r="L39" s="9">
        <f t="shared" si="5"/>
        <v>5.6124000000000001</v>
      </c>
      <c r="M39" s="9">
        <f>(J39-K39)/K55*100</f>
        <v>0</v>
      </c>
      <c r="N39" s="9">
        <f>(J39-L39)/L55*100</f>
        <v>7.0587970752331503E-2</v>
      </c>
    </row>
    <row r="40" spans="1:14" x14ac:dyDescent="0.3">
      <c r="A40" s="6">
        <v>37</v>
      </c>
      <c r="B40" s="7" t="s">
        <v>357</v>
      </c>
      <c r="C40" s="6" t="s">
        <v>61</v>
      </c>
      <c r="D40" s="6" t="s">
        <v>58</v>
      </c>
      <c r="E40" s="8">
        <v>121.34</v>
      </c>
      <c r="F40" s="9">
        <v>0.90239999999999998</v>
      </c>
      <c r="G40" s="8">
        <v>363.79</v>
      </c>
      <c r="H40" s="8">
        <v>363.79</v>
      </c>
      <c r="I40" s="8">
        <v>323.88</v>
      </c>
      <c r="J40" s="9">
        <f t="shared" si="3"/>
        <v>2.7054999999999998</v>
      </c>
      <c r="K40" s="9">
        <f t="shared" si="4"/>
        <v>2.7054999999999998</v>
      </c>
      <c r="L40" s="9">
        <f t="shared" si="5"/>
        <v>2.4087000000000001</v>
      </c>
      <c r="M40" s="9">
        <f>(J40-K40)/K55*100</f>
        <v>0</v>
      </c>
      <c r="N40" s="9">
        <f>(J40-L40)/L55*100</f>
        <v>9.0187299695617812E-2</v>
      </c>
    </row>
    <row r="41" spans="1:14" x14ac:dyDescent="0.3">
      <c r="A41" s="6">
        <v>38</v>
      </c>
      <c r="B41" s="7" t="s">
        <v>358</v>
      </c>
      <c r="C41" s="6" t="s">
        <v>62</v>
      </c>
      <c r="D41" s="6" t="s">
        <v>63</v>
      </c>
      <c r="E41" s="8">
        <v>699</v>
      </c>
      <c r="F41" s="9">
        <v>0.51219999999999999</v>
      </c>
      <c r="G41" s="8">
        <v>2499</v>
      </c>
      <c r="H41" s="8">
        <v>2499</v>
      </c>
      <c r="I41" s="8">
        <v>2499</v>
      </c>
      <c r="J41" s="9">
        <f t="shared" si="3"/>
        <v>1.8311999999999999</v>
      </c>
      <c r="K41" s="9">
        <f t="shared" si="4"/>
        <v>1.8311999999999999</v>
      </c>
      <c r="L41" s="9">
        <f t="shared" si="5"/>
        <v>1.8311999999999999</v>
      </c>
      <c r="M41" s="9">
        <f>(J41-K41)/K55*100</f>
        <v>0</v>
      </c>
      <c r="N41" s="9">
        <f>(J41-L41)/L55*100</f>
        <v>0</v>
      </c>
    </row>
    <row r="42" spans="1:14" x14ac:dyDescent="0.3">
      <c r="A42" s="6">
        <v>39</v>
      </c>
      <c r="B42" s="7" t="s">
        <v>359</v>
      </c>
      <c r="C42" s="6" t="s">
        <v>64</v>
      </c>
      <c r="D42" s="6" t="s">
        <v>63</v>
      </c>
      <c r="E42" s="8">
        <v>199</v>
      </c>
      <c r="F42" s="9">
        <v>0.16400000000000001</v>
      </c>
      <c r="G42" s="8">
        <v>699</v>
      </c>
      <c r="H42" s="8">
        <v>699</v>
      </c>
      <c r="I42" s="8">
        <v>599</v>
      </c>
      <c r="J42" s="9">
        <f t="shared" si="3"/>
        <v>0.57609999999999995</v>
      </c>
      <c r="K42" s="9">
        <f t="shared" si="4"/>
        <v>0.57609999999999995</v>
      </c>
      <c r="L42" s="9">
        <f t="shared" si="5"/>
        <v>0.49359999999999998</v>
      </c>
      <c r="M42" s="9">
        <f>(J42-K42)/K55*100</f>
        <v>0</v>
      </c>
      <c r="N42" s="9">
        <f>(J42-L42)/L55*100</f>
        <v>2.5068909113505632E-2</v>
      </c>
    </row>
    <row r="43" spans="1:14" x14ac:dyDescent="0.3">
      <c r="A43" s="6">
        <v>40</v>
      </c>
      <c r="B43" s="7" t="s">
        <v>360</v>
      </c>
      <c r="C43" s="6" t="s">
        <v>65</v>
      </c>
      <c r="D43" s="6" t="s">
        <v>63</v>
      </c>
      <c r="E43" s="8">
        <v>499</v>
      </c>
      <c r="F43" s="9">
        <v>1.0147999999999999</v>
      </c>
      <c r="G43" s="8">
        <v>1499</v>
      </c>
      <c r="H43" s="8">
        <v>1499</v>
      </c>
      <c r="I43" s="8">
        <v>1399</v>
      </c>
      <c r="J43" s="9">
        <f t="shared" si="3"/>
        <v>3.0485000000000002</v>
      </c>
      <c r="K43" s="9">
        <f t="shared" si="4"/>
        <v>3.0485000000000002</v>
      </c>
      <c r="L43" s="9">
        <f t="shared" si="5"/>
        <v>2.8451</v>
      </c>
      <c r="M43" s="9">
        <f>(J43-K43)/K55*100</f>
        <v>0</v>
      </c>
      <c r="N43" s="9">
        <f>(J43-L43)/L55*100</f>
        <v>6.180625592347945E-2</v>
      </c>
    </row>
    <row r="44" spans="1:14" x14ac:dyDescent="0.3">
      <c r="A44" s="6">
        <v>41</v>
      </c>
      <c r="B44" s="7" t="s">
        <v>361</v>
      </c>
      <c r="C44" s="6" t="s">
        <v>66</v>
      </c>
      <c r="D44" s="6" t="s">
        <v>67</v>
      </c>
      <c r="E44" s="8">
        <v>11.33</v>
      </c>
      <c r="F44" s="9">
        <v>12.9291</v>
      </c>
      <c r="G44" s="8">
        <v>26.72</v>
      </c>
      <c r="H44" s="8">
        <v>26.72</v>
      </c>
      <c r="I44" s="8">
        <v>23.59</v>
      </c>
      <c r="J44" s="9">
        <f t="shared" si="3"/>
        <v>30.491199999999999</v>
      </c>
      <c r="K44" s="9">
        <f t="shared" si="4"/>
        <v>30.491199999999999</v>
      </c>
      <c r="L44" s="9">
        <f t="shared" si="5"/>
        <v>26.919499999999999</v>
      </c>
      <c r="M44" s="9">
        <f>(J44-K44)/K55*100</f>
        <v>0</v>
      </c>
      <c r="N44" s="9">
        <f>(J44-L44)/L55*100</f>
        <v>1.0853166385540376</v>
      </c>
    </row>
    <row r="45" spans="1:14" x14ac:dyDescent="0.3">
      <c r="A45" s="6">
        <v>42</v>
      </c>
      <c r="B45" s="7" t="s">
        <v>362</v>
      </c>
      <c r="C45" s="6" t="s">
        <v>404</v>
      </c>
      <c r="D45" s="6" t="s">
        <v>69</v>
      </c>
      <c r="E45" s="8">
        <v>216.76</v>
      </c>
      <c r="F45" s="9">
        <v>3.0667</v>
      </c>
      <c r="G45" s="8">
        <v>3940.61</v>
      </c>
      <c r="H45" s="8">
        <v>3940.61</v>
      </c>
      <c r="I45" s="8">
        <v>3940.61</v>
      </c>
      <c r="J45" s="9">
        <f t="shared" si="3"/>
        <v>55.751399999999997</v>
      </c>
      <c r="K45" s="9">
        <f t="shared" si="4"/>
        <v>55.751399999999997</v>
      </c>
      <c r="L45" s="9">
        <f t="shared" si="5"/>
        <v>55.751399999999997</v>
      </c>
      <c r="M45" s="9">
        <f>(J45-K45)/K55*100</f>
        <v>0</v>
      </c>
      <c r="N45" s="9">
        <f>(J45-L45)/L55*100</f>
        <v>0</v>
      </c>
    </row>
    <row r="46" spans="1:14" x14ac:dyDescent="0.3">
      <c r="A46" s="6">
        <v>43</v>
      </c>
      <c r="B46" s="7" t="s">
        <v>363</v>
      </c>
      <c r="C46" s="6" t="s">
        <v>70</v>
      </c>
      <c r="D46" s="6" t="s">
        <v>71</v>
      </c>
      <c r="E46" s="8">
        <v>616.21</v>
      </c>
      <c r="F46" s="9">
        <v>1.1969000000000001</v>
      </c>
      <c r="G46" s="8">
        <v>1611.53</v>
      </c>
      <c r="H46" s="8">
        <v>1611.53</v>
      </c>
      <c r="I46" s="8">
        <v>1452.67</v>
      </c>
      <c r="J46" s="9">
        <f t="shared" si="3"/>
        <v>3.1301999999999999</v>
      </c>
      <c r="K46" s="9">
        <f t="shared" si="4"/>
        <v>3.1301999999999999</v>
      </c>
      <c r="L46" s="9">
        <f t="shared" si="5"/>
        <v>2.8216000000000001</v>
      </c>
      <c r="M46" s="9">
        <f>(J46-K46)/K55*100</f>
        <v>0</v>
      </c>
      <c r="N46" s="9">
        <f>(J46-L46)/L55*100</f>
        <v>9.377291336276164E-2</v>
      </c>
    </row>
    <row r="47" spans="1:14" x14ac:dyDescent="0.3">
      <c r="A47" s="6">
        <v>44</v>
      </c>
      <c r="B47" s="7" t="s">
        <v>364</v>
      </c>
      <c r="C47" s="6" t="s">
        <v>72</v>
      </c>
      <c r="D47" s="6" t="s">
        <v>23</v>
      </c>
      <c r="E47" s="8">
        <v>168.29</v>
      </c>
      <c r="F47" s="9">
        <v>0.33739999999999998</v>
      </c>
      <c r="G47" s="8">
        <v>418.59</v>
      </c>
      <c r="H47" s="8">
        <v>418.59</v>
      </c>
      <c r="I47" s="8">
        <v>406.47</v>
      </c>
      <c r="J47" s="9">
        <f t="shared" si="3"/>
        <v>0.83919999999999995</v>
      </c>
      <c r="K47" s="9">
        <f t="shared" si="4"/>
        <v>0.83919999999999995</v>
      </c>
      <c r="L47" s="9">
        <f t="shared" si="5"/>
        <v>0.81489999999999996</v>
      </c>
      <c r="M47" s="9">
        <f>(J47-K47)/K55*100</f>
        <v>0</v>
      </c>
      <c r="N47" s="9">
        <f>(J47-L47)/L55*100</f>
        <v>7.3839332297962051E-3</v>
      </c>
    </row>
    <row r="48" spans="1:14" x14ac:dyDescent="0.3">
      <c r="A48" s="6">
        <v>45</v>
      </c>
      <c r="B48" s="7" t="s">
        <v>365</v>
      </c>
      <c r="C48" s="6" t="s">
        <v>73</v>
      </c>
      <c r="D48" s="6" t="s">
        <v>23</v>
      </c>
      <c r="E48" s="8">
        <v>39.97</v>
      </c>
      <c r="F48" s="9">
        <v>0.5917</v>
      </c>
      <c r="G48" s="8">
        <v>144.59</v>
      </c>
      <c r="H48" s="8">
        <v>143.9</v>
      </c>
      <c r="I48" s="8">
        <v>131.18</v>
      </c>
      <c r="J48" s="9">
        <f t="shared" si="3"/>
        <v>2.1404999999999998</v>
      </c>
      <c r="K48" s="9">
        <f t="shared" si="4"/>
        <v>2.1301999999999999</v>
      </c>
      <c r="L48" s="9">
        <f t="shared" si="5"/>
        <v>1.9419</v>
      </c>
      <c r="M48" s="9">
        <f>(J48-K48)/K55*100</f>
        <v>2.8749957433315382E-3</v>
      </c>
      <c r="N48" s="9">
        <f>(J48-L48)/L55*100</f>
        <v>6.0347701211420822E-2</v>
      </c>
    </row>
    <row r="49" spans="1:14" x14ac:dyDescent="0.3">
      <c r="A49" s="6">
        <v>46</v>
      </c>
      <c r="B49" s="7" t="s">
        <v>366</v>
      </c>
      <c r="C49" s="6" t="s">
        <v>74</v>
      </c>
      <c r="D49" s="6" t="s">
        <v>23</v>
      </c>
      <c r="E49" s="8">
        <v>1.9</v>
      </c>
      <c r="F49" s="9">
        <v>0.19689999999999999</v>
      </c>
      <c r="G49" s="8">
        <v>6.64</v>
      </c>
      <c r="H49" s="8">
        <v>6.64</v>
      </c>
      <c r="I49" s="8">
        <v>6.62</v>
      </c>
      <c r="J49" s="9">
        <f t="shared" si="3"/>
        <v>0.68810000000000004</v>
      </c>
      <c r="K49" s="9">
        <f t="shared" si="4"/>
        <v>0.68810000000000004</v>
      </c>
      <c r="L49" s="9">
        <f t="shared" si="5"/>
        <v>0.68610000000000004</v>
      </c>
      <c r="M49" s="9">
        <f>(J49-K49)/K55*100</f>
        <v>0</v>
      </c>
      <c r="N49" s="9">
        <f>(J49-L49)/L55*100</f>
        <v>6.0773113002437985E-4</v>
      </c>
    </row>
    <row r="50" spans="1:14" x14ac:dyDescent="0.3">
      <c r="A50" s="6">
        <v>47</v>
      </c>
      <c r="B50" s="7" t="s">
        <v>367</v>
      </c>
      <c r="C50" s="6" t="s">
        <v>75</v>
      </c>
      <c r="D50" s="6" t="s">
        <v>76</v>
      </c>
      <c r="E50" s="8">
        <v>74.19</v>
      </c>
      <c r="F50" s="9">
        <v>6.7018000000000004</v>
      </c>
      <c r="G50" s="8">
        <v>328.28</v>
      </c>
      <c r="H50" s="8">
        <v>311.83</v>
      </c>
      <c r="I50" s="8">
        <v>273.2</v>
      </c>
      <c r="J50" s="9">
        <f t="shared" si="3"/>
        <v>29.654499999999999</v>
      </c>
      <c r="K50" s="9">
        <f t="shared" si="4"/>
        <v>28.168500000000002</v>
      </c>
      <c r="L50" s="9">
        <f t="shared" si="5"/>
        <v>24.678999999999998</v>
      </c>
      <c r="M50" s="9">
        <f>(J50-K50)/K55*100</f>
        <v>0.41478093928064735</v>
      </c>
      <c r="N50" s="9">
        <f>(J50-L50)/L55*100</f>
        <v>1.5118831187181496</v>
      </c>
    </row>
    <row r="51" spans="1:14" x14ac:dyDescent="0.3">
      <c r="A51" s="6">
        <v>48</v>
      </c>
      <c r="B51" s="7" t="s">
        <v>368</v>
      </c>
      <c r="C51" s="6" t="s">
        <v>77</v>
      </c>
      <c r="D51" s="6" t="s">
        <v>76</v>
      </c>
      <c r="E51" s="8">
        <v>79.290000000000006</v>
      </c>
      <c r="F51" s="9">
        <v>8.7400000000000005E-2</v>
      </c>
      <c r="G51" s="8">
        <v>376.14</v>
      </c>
      <c r="H51" s="8">
        <v>324.39999999999998</v>
      </c>
      <c r="I51" s="8">
        <v>285.38</v>
      </c>
      <c r="J51" s="9">
        <f t="shared" si="3"/>
        <v>0.41460000000000002</v>
      </c>
      <c r="K51" s="9">
        <f t="shared" si="4"/>
        <v>0.35759999999999997</v>
      </c>
      <c r="L51" s="9">
        <f t="shared" si="5"/>
        <v>0.31459999999999999</v>
      </c>
      <c r="M51" s="9">
        <f>(J51-K51)/K55*100</f>
        <v>1.591017061843672E-2</v>
      </c>
      <c r="N51" s="9">
        <f>(J51-L51)/L55*100</f>
        <v>3.0386556501218971E-2</v>
      </c>
    </row>
    <row r="52" spans="1:14" x14ac:dyDescent="0.3">
      <c r="A52" s="6">
        <v>49</v>
      </c>
      <c r="B52" s="7" t="s">
        <v>369</v>
      </c>
      <c r="C52" s="6" t="s">
        <v>78</v>
      </c>
      <c r="D52" s="6" t="s">
        <v>23</v>
      </c>
      <c r="E52" s="8">
        <v>925.98</v>
      </c>
      <c r="F52" s="9">
        <v>1.4370000000000001</v>
      </c>
      <c r="G52" s="8">
        <v>4436.9799999999996</v>
      </c>
      <c r="H52" s="8">
        <v>4465.8999999999996</v>
      </c>
      <c r="I52" s="8">
        <v>3003.88</v>
      </c>
      <c r="J52" s="9">
        <f t="shared" si="3"/>
        <v>6.8856000000000002</v>
      </c>
      <c r="K52" s="9">
        <f t="shared" si="4"/>
        <v>6.9305000000000003</v>
      </c>
      <c r="L52" s="9">
        <f t="shared" si="5"/>
        <v>4.6616</v>
      </c>
      <c r="M52" s="9">
        <f>(J52-K52)/K55*100</f>
        <v>-1.2532748434522994E-2</v>
      </c>
      <c r="N52" s="9">
        <f>(J52-L52)/L55*100</f>
        <v>0.67579701658710989</v>
      </c>
    </row>
    <row r="53" spans="1:14" x14ac:dyDescent="0.3">
      <c r="A53" s="6">
        <v>50</v>
      </c>
      <c r="B53" s="7" t="s">
        <v>370</v>
      </c>
      <c r="C53" s="6" t="s">
        <v>79</v>
      </c>
      <c r="D53" s="6" t="s">
        <v>80</v>
      </c>
      <c r="E53" s="8">
        <v>1.2</v>
      </c>
      <c r="F53" s="9">
        <v>0.54679999999999995</v>
      </c>
      <c r="G53" s="8">
        <v>1.79</v>
      </c>
      <c r="H53" s="8">
        <v>1.79</v>
      </c>
      <c r="I53" s="8">
        <v>1.79</v>
      </c>
      <c r="J53" s="9">
        <f t="shared" si="3"/>
        <v>0.81569999999999998</v>
      </c>
      <c r="K53" s="9">
        <f t="shared" si="4"/>
        <v>0.81569999999999998</v>
      </c>
      <c r="L53" s="9">
        <f t="shared" si="5"/>
        <v>0.81569999999999998</v>
      </c>
      <c r="M53" s="9">
        <f>(J53-K53)/K55*100</f>
        <v>0</v>
      </c>
      <c r="N53" s="9">
        <f>(J53-L53)/L55*100</f>
        <v>0</v>
      </c>
    </row>
    <row r="54" spans="1:14" x14ac:dyDescent="0.3">
      <c r="A54" s="6">
        <v>51</v>
      </c>
      <c r="B54" s="7" t="s">
        <v>371</v>
      </c>
      <c r="C54" s="6" t="s">
        <v>81</v>
      </c>
      <c r="D54" s="6" t="s">
        <v>23</v>
      </c>
      <c r="E54" s="8">
        <v>36.15</v>
      </c>
      <c r="F54" s="9">
        <v>0.6784</v>
      </c>
      <c r="G54" s="8">
        <v>116.37</v>
      </c>
      <c r="H54" s="8">
        <v>116.37</v>
      </c>
      <c r="I54" s="8">
        <v>109.58</v>
      </c>
      <c r="J54" s="9">
        <f t="shared" si="3"/>
        <v>2.1838000000000002</v>
      </c>
      <c r="K54" s="9">
        <f t="shared" si="4"/>
        <v>2.1838000000000002</v>
      </c>
      <c r="L54" s="9">
        <f t="shared" si="5"/>
        <v>2.0564</v>
      </c>
      <c r="M54" s="9">
        <f>(J54-K54)/K55*100</f>
        <v>0</v>
      </c>
      <c r="N54" s="9">
        <f>(J54-L54)/L55*100</f>
        <v>3.8712472982553009E-2</v>
      </c>
    </row>
    <row r="55" spans="1:14" x14ac:dyDescent="0.3">
      <c r="A55" s="6"/>
      <c r="B55" s="7"/>
      <c r="C55" s="6"/>
      <c r="D55" s="6"/>
      <c r="E55" s="8"/>
      <c r="F55" s="9">
        <f>SUM(F4:F54)</f>
        <v>100</v>
      </c>
      <c r="G55" s="8"/>
      <c r="H55" s="8"/>
      <c r="I55" s="8"/>
      <c r="J55" s="9">
        <f>SUM(J4:J54)</f>
        <v>360.88240000000002</v>
      </c>
      <c r="K55" s="9">
        <f>SUM(K4:K54)</f>
        <v>358.26139999999998</v>
      </c>
      <c r="L55" s="9">
        <f>SUM(L4:L54)</f>
        <v>329.09289999999993</v>
      </c>
      <c r="M55" s="9">
        <f>SUM(M4:M54)</f>
        <v>0.73158872264776365</v>
      </c>
      <c r="N55" s="9">
        <f>SUM(N4:N54)</f>
        <v>9.6597343789550045</v>
      </c>
    </row>
    <row r="56" spans="1:1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3">
      <c r="A57" s="3"/>
      <c r="B57" s="3"/>
      <c r="C57" s="3"/>
      <c r="D57" s="3"/>
      <c r="E57" s="3"/>
      <c r="F57" s="3"/>
      <c r="G57" s="3" t="s">
        <v>372</v>
      </c>
      <c r="H57" s="3"/>
      <c r="I57" s="3"/>
      <c r="J57" s="4">
        <f>J55/K55*100-100</f>
        <v>0.73158872264778552</v>
      </c>
      <c r="K57" s="3"/>
      <c r="L57" s="3"/>
      <c r="M57" s="3"/>
      <c r="N57" s="3"/>
    </row>
    <row r="58" spans="1:14" x14ac:dyDescent="0.3">
      <c r="A58" s="3"/>
      <c r="B58" s="3"/>
      <c r="C58" s="3"/>
      <c r="D58" s="3"/>
      <c r="E58" s="3"/>
      <c r="F58" s="3"/>
      <c r="G58" s="3" t="s">
        <v>373</v>
      </c>
      <c r="H58" s="3"/>
      <c r="I58" s="3"/>
      <c r="J58" s="4">
        <f>J55/L55*100-100</f>
        <v>9.6597343789550223</v>
      </c>
      <c r="K58" s="3"/>
      <c r="L58" s="3"/>
      <c r="M58" s="3"/>
      <c r="N58" s="3"/>
    </row>
  </sheetData>
  <mergeCells count="6">
    <mergeCell ref="R3:S3"/>
    <mergeCell ref="A1:N1"/>
    <mergeCell ref="A2:N2"/>
    <mergeCell ref="G3:I3"/>
    <mergeCell ref="J3:L3"/>
    <mergeCell ref="M3:N3"/>
  </mergeCells>
  <pageMargins left="0.4861111111111111" right="0.4861111111111111" top="0.4861111111111111" bottom="0.4861111111111111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75E7-AF4F-4FC7-B4DC-7AFDE1282B7A}">
  <dimension ref="A1:S58"/>
  <sheetViews>
    <sheetView topLeftCell="A9" workbookViewId="0">
      <selection activeCell="C45" sqref="C45"/>
    </sheetView>
  </sheetViews>
  <sheetFormatPr defaultRowHeight="14.4" x14ac:dyDescent="0.3"/>
  <cols>
    <col min="1" max="1" width="3.44140625" customWidth="1"/>
    <col min="3" max="3" width="22.88671875" customWidth="1"/>
    <col min="4" max="4" width="5.88671875" customWidth="1"/>
    <col min="5" max="5" width="9.33203125" customWidth="1"/>
    <col min="6" max="6" width="7.109375" customWidth="1"/>
    <col min="7" max="9" width="9.44140625" customWidth="1"/>
    <col min="10" max="12" width="7.33203125" customWidth="1"/>
    <col min="13" max="14" width="6.44140625" customWidth="1"/>
  </cols>
  <sheetData>
    <row r="1" spans="1:19" ht="15.6" x14ac:dyDescent="0.3">
      <c r="A1" s="94" t="s">
        <v>378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9" x14ac:dyDescent="0.3">
      <c r="A2" s="72" t="s">
        <v>314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1:19" ht="26.25" customHeight="1" x14ac:dyDescent="0.3">
      <c r="A3" s="5" t="s">
        <v>133</v>
      </c>
      <c r="B3" s="5" t="s">
        <v>315</v>
      </c>
      <c r="C3" s="5" t="s">
        <v>103</v>
      </c>
      <c r="D3" s="5" t="s">
        <v>110</v>
      </c>
      <c r="E3" s="5" t="s">
        <v>316</v>
      </c>
      <c r="F3" s="5" t="s">
        <v>317</v>
      </c>
      <c r="G3" s="96" t="s">
        <v>318</v>
      </c>
      <c r="H3" s="96"/>
      <c r="I3" s="96"/>
      <c r="J3" s="96" t="s">
        <v>319</v>
      </c>
      <c r="K3" s="96"/>
      <c r="L3" s="96"/>
      <c r="M3" s="96" t="s">
        <v>320</v>
      </c>
      <c r="N3" s="96"/>
      <c r="P3" s="10" t="s">
        <v>375</v>
      </c>
      <c r="Q3" s="10" t="s">
        <v>317</v>
      </c>
      <c r="R3" s="93" t="s">
        <v>376</v>
      </c>
      <c r="S3" s="93"/>
    </row>
    <row r="4" spans="1:19" x14ac:dyDescent="0.3">
      <c r="A4" s="6">
        <v>1</v>
      </c>
      <c r="B4" s="7" t="s">
        <v>321</v>
      </c>
      <c r="C4" s="6" t="s">
        <v>17</v>
      </c>
      <c r="D4" s="6" t="s">
        <v>18</v>
      </c>
      <c r="E4" s="8">
        <v>779.92</v>
      </c>
      <c r="F4" s="9">
        <v>6.1372</v>
      </c>
      <c r="G4" s="8">
        <v>2536.5500000000002</v>
      </c>
      <c r="H4" s="8">
        <v>2551.27</v>
      </c>
      <c r="I4" s="8">
        <v>1491.87</v>
      </c>
      <c r="J4" s="9">
        <f t="shared" ref="J4:J35" si="0">ROUND(ROUND(ROUND(G4*F4,4)*100/E4,4)/100,4)</f>
        <v>19.960100000000001</v>
      </c>
      <c r="K4" s="9">
        <f t="shared" ref="K4:K35" si="1">ROUND(ROUND(ROUND(H4*F4,4)*100/E4,4)/100,4)</f>
        <v>20.076000000000001</v>
      </c>
      <c r="L4" s="9">
        <f t="shared" ref="L4:L35" si="2">ROUND(ROUND(ROUND(I4*F4,4)*100/E4,4)/100,4)</f>
        <v>11.7395</v>
      </c>
      <c r="M4" s="9">
        <f>(J4-K4)/K55*100</f>
        <v>-3.3421910527901784E-2</v>
      </c>
      <c r="N4" s="9">
        <f>(J4-L4)/L55*100</f>
        <v>2.5904871146852884</v>
      </c>
      <c r="P4" s="10" t="s">
        <v>163</v>
      </c>
      <c r="Q4" s="11">
        <f>SUM(F4:F36)</f>
        <v>70.566900000000004</v>
      </c>
      <c r="R4" s="12">
        <f>SUM(M4:M36)</f>
        <v>0.7764898919627381</v>
      </c>
      <c r="S4" s="12">
        <f>SUM(N4:N36)</f>
        <v>7.0146342385721212</v>
      </c>
    </row>
    <row r="5" spans="1:19" x14ac:dyDescent="0.3">
      <c r="A5" s="6">
        <v>2</v>
      </c>
      <c r="B5" s="7" t="s">
        <v>322</v>
      </c>
      <c r="C5" s="6" t="s">
        <v>19</v>
      </c>
      <c r="D5" s="6" t="s">
        <v>20</v>
      </c>
      <c r="E5" s="8">
        <v>63.21</v>
      </c>
      <c r="F5" s="9">
        <v>2.9609999999999999</v>
      </c>
      <c r="G5" s="8">
        <v>238.77</v>
      </c>
      <c r="H5" s="8">
        <v>238.77</v>
      </c>
      <c r="I5" s="8">
        <v>225.9</v>
      </c>
      <c r="J5" s="9">
        <f t="shared" si="0"/>
        <v>11.184900000000001</v>
      </c>
      <c r="K5" s="9">
        <f t="shared" si="1"/>
        <v>11.184900000000001</v>
      </c>
      <c r="L5" s="9">
        <f t="shared" si="2"/>
        <v>10.582000000000001</v>
      </c>
      <c r="M5" s="9">
        <f>(J5-K5)/K55*100</f>
        <v>0</v>
      </c>
      <c r="N5" s="9">
        <f>(J5-L5)/L55*100</f>
        <v>0.1899867018762329</v>
      </c>
      <c r="P5" s="10" t="s">
        <v>164</v>
      </c>
      <c r="Q5" s="11">
        <f>SUM(F37:F43,F46:F49,F52,F54)</f>
        <v>17.459800000000001</v>
      </c>
      <c r="R5" s="12">
        <f>SUM(M37:M43,M46:M49,M52,M54)</f>
        <v>2.8836851188804302E-5</v>
      </c>
      <c r="S5" s="12">
        <f>SUM(N37:N43,N46:N49,N52,N54)</f>
        <v>1.4159665719201604</v>
      </c>
    </row>
    <row r="6" spans="1:19" x14ac:dyDescent="0.3">
      <c r="A6" s="6">
        <v>3</v>
      </c>
      <c r="B6" s="7" t="s">
        <v>323</v>
      </c>
      <c r="C6" s="6" t="s">
        <v>21</v>
      </c>
      <c r="D6" s="6" t="s">
        <v>20</v>
      </c>
      <c r="E6" s="8">
        <v>46.47</v>
      </c>
      <c r="F6" s="9">
        <v>0.59219999999999995</v>
      </c>
      <c r="G6" s="8">
        <v>160.75</v>
      </c>
      <c r="H6" s="8">
        <v>160.86000000000001</v>
      </c>
      <c r="I6" s="8">
        <v>162.38999999999999</v>
      </c>
      <c r="J6" s="9">
        <f t="shared" si="0"/>
        <v>2.0486</v>
      </c>
      <c r="K6" s="9">
        <f t="shared" si="1"/>
        <v>2.0499999999999998</v>
      </c>
      <c r="L6" s="9">
        <f t="shared" si="2"/>
        <v>2.0695000000000001</v>
      </c>
      <c r="M6" s="9">
        <f>(J6-K6)/K55*100</f>
        <v>-4.0371591664415351E-4</v>
      </c>
      <c r="N6" s="9">
        <f>(J6-L6)/L55*100</f>
        <v>-6.5860376002874338E-3</v>
      </c>
      <c r="P6" s="10" t="s">
        <v>166</v>
      </c>
      <c r="Q6" s="11">
        <f>SUM(F44:F45,F53)</f>
        <v>10.4946</v>
      </c>
      <c r="R6" s="12">
        <f>SUM(M44:M45,M53)</f>
        <v>0</v>
      </c>
      <c r="S6" s="12">
        <f>SUM(N44:N45,N53)</f>
        <v>1.4527727533418633</v>
      </c>
    </row>
    <row r="7" spans="1:19" x14ac:dyDescent="0.3">
      <c r="A7" s="6">
        <v>4</v>
      </c>
      <c r="B7" s="7" t="s">
        <v>324</v>
      </c>
      <c r="C7" s="6" t="s">
        <v>22</v>
      </c>
      <c r="D7" s="6" t="s">
        <v>23</v>
      </c>
      <c r="E7" s="8">
        <v>42.71</v>
      </c>
      <c r="F7" s="9">
        <v>0.1041</v>
      </c>
      <c r="G7" s="8">
        <v>125.75</v>
      </c>
      <c r="H7" s="8">
        <v>125.75</v>
      </c>
      <c r="I7" s="8">
        <v>109.78</v>
      </c>
      <c r="J7" s="9">
        <f t="shared" si="0"/>
        <v>0.30649999999999999</v>
      </c>
      <c r="K7" s="9">
        <f t="shared" si="1"/>
        <v>0.30649999999999999</v>
      </c>
      <c r="L7" s="9">
        <f t="shared" si="2"/>
        <v>0.2676</v>
      </c>
      <c r="M7" s="9">
        <f>(J7-K7)/K55*100</f>
        <v>0</v>
      </c>
      <c r="N7" s="9">
        <f>(J7-L7)/L55*100</f>
        <v>1.2258223093357867E-2</v>
      </c>
      <c r="P7" s="10" t="s">
        <v>167</v>
      </c>
      <c r="Q7" s="11">
        <f>SUM(F50:F51)</f>
        <v>1.4787000000000001</v>
      </c>
      <c r="R7" s="12">
        <f>SUM(M50:M51)</f>
        <v>9.5997877607752538E-2</v>
      </c>
      <c r="S7" s="12">
        <f>SUM(N50:N51)</f>
        <v>0.34742136145056696</v>
      </c>
    </row>
    <row r="8" spans="1:19" x14ac:dyDescent="0.3">
      <c r="A8" s="6">
        <v>5</v>
      </c>
      <c r="B8" s="7" t="s">
        <v>325</v>
      </c>
      <c r="C8" s="6" t="s">
        <v>24</v>
      </c>
      <c r="D8" s="6" t="s">
        <v>20</v>
      </c>
      <c r="E8" s="8">
        <v>332.37</v>
      </c>
      <c r="F8" s="9">
        <v>2.4988000000000001</v>
      </c>
      <c r="G8" s="8">
        <v>1313.73</v>
      </c>
      <c r="H8" s="8">
        <v>1313.73</v>
      </c>
      <c r="I8" s="8">
        <v>1164.8</v>
      </c>
      <c r="J8" s="9">
        <f t="shared" si="0"/>
        <v>9.8767999999999994</v>
      </c>
      <c r="K8" s="9">
        <f t="shared" si="1"/>
        <v>9.8767999999999994</v>
      </c>
      <c r="L8" s="9">
        <f t="shared" si="2"/>
        <v>8.7570999999999994</v>
      </c>
      <c r="M8" s="9">
        <f>(J8-K8)/K55*100</f>
        <v>0</v>
      </c>
      <c r="N8" s="9">
        <f>(J8-L8)/L55*100</f>
        <v>0.352841449810612</v>
      </c>
      <c r="P8" s="10" t="s">
        <v>377</v>
      </c>
      <c r="Q8" s="11">
        <f>SUM(Q4:Q7)</f>
        <v>100.00000000000001</v>
      </c>
      <c r="R8" s="12">
        <f>SUM(R4:R7)</f>
        <v>0.8725166064216795</v>
      </c>
      <c r="S8" s="12">
        <f>SUM(S4:S7)</f>
        <v>10.230794925284711</v>
      </c>
    </row>
    <row r="9" spans="1:19" x14ac:dyDescent="0.3">
      <c r="A9" s="6">
        <v>6</v>
      </c>
      <c r="B9" s="7" t="s">
        <v>326</v>
      </c>
      <c r="C9" s="6" t="s">
        <v>25</v>
      </c>
      <c r="D9" s="6" t="s">
        <v>20</v>
      </c>
      <c r="E9" s="8">
        <v>657.62</v>
      </c>
      <c r="F9" s="9">
        <v>0.54979999999999996</v>
      </c>
      <c r="G9" s="8">
        <v>2552.5100000000002</v>
      </c>
      <c r="H9" s="8">
        <v>2552.5100000000002</v>
      </c>
      <c r="I9" s="8">
        <v>2189.16</v>
      </c>
      <c r="J9" s="9">
        <f t="shared" si="0"/>
        <v>2.1339999999999999</v>
      </c>
      <c r="K9" s="9">
        <f t="shared" si="1"/>
        <v>2.1339999999999999</v>
      </c>
      <c r="L9" s="9">
        <f t="shared" si="2"/>
        <v>1.8302</v>
      </c>
      <c r="M9" s="9">
        <f>(J9-K9)/K55*100</f>
        <v>0</v>
      </c>
      <c r="N9" s="9">
        <f>(J9-L9)/L55*100</f>
        <v>9.5733886266378382E-2</v>
      </c>
    </row>
    <row r="10" spans="1:19" x14ac:dyDescent="0.3">
      <c r="A10" s="6">
        <v>7</v>
      </c>
      <c r="B10" s="7" t="s">
        <v>327</v>
      </c>
      <c r="C10" s="6" t="s">
        <v>26</v>
      </c>
      <c r="D10" s="6" t="s">
        <v>20</v>
      </c>
      <c r="E10" s="8">
        <v>141.05000000000001</v>
      </c>
      <c r="F10" s="9">
        <v>2.9268999999999998</v>
      </c>
      <c r="G10" s="8">
        <v>355.43</v>
      </c>
      <c r="H10" s="8">
        <v>372.51</v>
      </c>
      <c r="I10" s="8">
        <v>422.13</v>
      </c>
      <c r="J10" s="9">
        <f t="shared" si="0"/>
        <v>7.3754999999999997</v>
      </c>
      <c r="K10" s="9">
        <f t="shared" si="1"/>
        <v>7.7298999999999998</v>
      </c>
      <c r="L10" s="9">
        <f t="shared" si="2"/>
        <v>8.7594999999999992</v>
      </c>
      <c r="M10" s="9">
        <f>(J10-K10)/K55*100</f>
        <v>-0.10219780061335984</v>
      </c>
      <c r="N10" s="9">
        <f>(J10-L10)/L55*100</f>
        <v>-0.43612804013386336</v>
      </c>
    </row>
    <row r="11" spans="1:19" x14ac:dyDescent="0.3">
      <c r="A11" s="6">
        <v>8</v>
      </c>
      <c r="B11" s="7" t="s">
        <v>328</v>
      </c>
      <c r="C11" s="6" t="s">
        <v>27</v>
      </c>
      <c r="D11" s="6" t="s">
        <v>28</v>
      </c>
      <c r="E11" s="8">
        <v>79.31</v>
      </c>
      <c r="F11" s="9">
        <v>17.544899999999998</v>
      </c>
      <c r="G11" s="8">
        <v>224.25</v>
      </c>
      <c r="H11" s="8">
        <v>224.2</v>
      </c>
      <c r="I11" s="8">
        <v>205.08</v>
      </c>
      <c r="J11" s="9">
        <f t="shared" si="0"/>
        <v>49.608400000000003</v>
      </c>
      <c r="K11" s="9">
        <f t="shared" si="1"/>
        <v>49.5974</v>
      </c>
      <c r="L11" s="9">
        <f t="shared" si="2"/>
        <v>45.367600000000003</v>
      </c>
      <c r="M11" s="9">
        <f>(J11-K11)/K55*100</f>
        <v>3.1720536307766442E-3</v>
      </c>
      <c r="N11" s="9">
        <f>(J11-L11)/L55*100</f>
        <v>1.3363669021674049</v>
      </c>
    </row>
    <row r="12" spans="1:19" x14ac:dyDescent="0.3">
      <c r="A12" s="6">
        <v>9</v>
      </c>
      <c r="B12" s="7" t="s">
        <v>329</v>
      </c>
      <c r="C12" s="6" t="s">
        <v>29</v>
      </c>
      <c r="D12" s="6" t="s">
        <v>20</v>
      </c>
      <c r="E12" s="8">
        <v>97.34</v>
      </c>
      <c r="F12" s="9">
        <v>0.73660000000000003</v>
      </c>
      <c r="G12" s="8">
        <v>282.06</v>
      </c>
      <c r="H12" s="8">
        <v>281.99</v>
      </c>
      <c r="I12" s="8">
        <v>258.8</v>
      </c>
      <c r="J12" s="9">
        <f t="shared" si="0"/>
        <v>2.1343999999999999</v>
      </c>
      <c r="K12" s="9">
        <f t="shared" si="1"/>
        <v>2.1339000000000001</v>
      </c>
      <c r="L12" s="9">
        <f t="shared" si="2"/>
        <v>1.9583999999999999</v>
      </c>
      <c r="M12" s="9">
        <f>(J12-K12)/K55*100</f>
        <v>1.4418425594427649E-4</v>
      </c>
      <c r="N12" s="9">
        <f>(J12-L12)/L55*100</f>
        <v>5.5461369265578001E-2</v>
      </c>
    </row>
    <row r="13" spans="1:19" x14ac:dyDescent="0.3">
      <c r="A13" s="6">
        <v>10</v>
      </c>
      <c r="B13" s="7" t="s">
        <v>330</v>
      </c>
      <c r="C13" s="6" t="s">
        <v>30</v>
      </c>
      <c r="D13" s="6" t="s">
        <v>23</v>
      </c>
      <c r="E13" s="8">
        <v>363.01</v>
      </c>
      <c r="F13" s="9">
        <v>8.0299999999999996E-2</v>
      </c>
      <c r="G13" s="8">
        <v>1159.43</v>
      </c>
      <c r="H13" s="8">
        <v>1158.99</v>
      </c>
      <c r="I13" s="8">
        <v>1086.6300000000001</v>
      </c>
      <c r="J13" s="9">
        <f t="shared" si="0"/>
        <v>0.25650000000000001</v>
      </c>
      <c r="K13" s="9">
        <f t="shared" si="1"/>
        <v>0.25640000000000002</v>
      </c>
      <c r="L13" s="9">
        <f t="shared" si="2"/>
        <v>0.2404</v>
      </c>
      <c r="M13" s="9">
        <f>(J13-K13)/K55*100</f>
        <v>2.8836851188868108E-5</v>
      </c>
      <c r="N13" s="9">
        <f>(J13-L13)/L55*100</f>
        <v>5.0734548021352634E-3</v>
      </c>
    </row>
    <row r="14" spans="1:19" x14ac:dyDescent="0.3">
      <c r="A14" s="6">
        <v>11</v>
      </c>
      <c r="B14" s="7" t="s">
        <v>331</v>
      </c>
      <c r="C14" s="6" t="s">
        <v>31</v>
      </c>
      <c r="D14" s="6" t="s">
        <v>32</v>
      </c>
      <c r="E14" s="8">
        <v>87.46</v>
      </c>
      <c r="F14" s="9">
        <v>1.1779999999999999</v>
      </c>
      <c r="G14" s="8">
        <v>259.16000000000003</v>
      </c>
      <c r="H14" s="8">
        <v>242.74</v>
      </c>
      <c r="I14" s="8">
        <v>283.42</v>
      </c>
      <c r="J14" s="9">
        <f t="shared" si="0"/>
        <v>3.4906000000000001</v>
      </c>
      <c r="K14" s="9">
        <f t="shared" si="1"/>
        <v>3.2694999999999999</v>
      </c>
      <c r="L14" s="9">
        <f t="shared" si="2"/>
        <v>3.8174000000000001</v>
      </c>
      <c r="M14" s="9">
        <f>(J14-K14)/K55*100</f>
        <v>6.3758277978594499E-2</v>
      </c>
      <c r="N14" s="9">
        <f>(J14-L14)/L55*100</f>
        <v>-0.10298167884085736</v>
      </c>
    </row>
    <row r="15" spans="1:19" x14ac:dyDescent="0.3">
      <c r="A15" s="6">
        <v>12</v>
      </c>
      <c r="B15" s="7" t="s">
        <v>332</v>
      </c>
      <c r="C15" s="6" t="s">
        <v>33</v>
      </c>
      <c r="D15" s="6" t="s">
        <v>20</v>
      </c>
      <c r="E15" s="8">
        <v>180.01</v>
      </c>
      <c r="F15" s="9">
        <v>2.1600000000000001E-2</v>
      </c>
      <c r="G15" s="8">
        <v>564.65</v>
      </c>
      <c r="H15" s="8">
        <v>563.87</v>
      </c>
      <c r="I15" s="8">
        <v>544.27</v>
      </c>
      <c r="J15" s="9">
        <f t="shared" si="0"/>
        <v>6.7799999999999999E-2</v>
      </c>
      <c r="K15" s="9">
        <f t="shared" si="1"/>
        <v>6.7699999999999996E-2</v>
      </c>
      <c r="L15" s="9">
        <f t="shared" si="2"/>
        <v>6.5299999999999997E-2</v>
      </c>
      <c r="M15" s="9">
        <f>(J15-K15)/K55*100</f>
        <v>2.8836851188872109E-5</v>
      </c>
      <c r="N15" s="9">
        <f>(J15-L15)/L55*100</f>
        <v>7.8780354070423411E-4</v>
      </c>
    </row>
    <row r="16" spans="1:19" x14ac:dyDescent="0.3">
      <c r="A16" s="6">
        <v>13</v>
      </c>
      <c r="B16" s="7" t="s">
        <v>333</v>
      </c>
      <c r="C16" s="6" t="s">
        <v>34</v>
      </c>
      <c r="D16" s="6" t="s">
        <v>23</v>
      </c>
      <c r="E16" s="8">
        <v>882.81</v>
      </c>
      <c r="F16" s="9">
        <v>2.1480000000000001</v>
      </c>
      <c r="G16" s="8">
        <v>3066.54</v>
      </c>
      <c r="H16" s="8">
        <v>3065.15</v>
      </c>
      <c r="I16" s="8">
        <v>2862.82</v>
      </c>
      <c r="J16" s="9">
        <f t="shared" si="0"/>
        <v>7.4612999999999996</v>
      </c>
      <c r="K16" s="9">
        <f t="shared" si="1"/>
        <v>7.4579000000000004</v>
      </c>
      <c r="L16" s="9">
        <f t="shared" si="2"/>
        <v>6.9656000000000002</v>
      </c>
      <c r="M16" s="9">
        <f>(J16-K16)/K55*100</f>
        <v>9.8045294042138761E-4</v>
      </c>
      <c r="N16" s="9">
        <f>(J16-L16)/L55*100</f>
        <v>0.15620568605083518</v>
      </c>
    </row>
    <row r="17" spans="1:14" x14ac:dyDescent="0.3">
      <c r="A17" s="6">
        <v>14</v>
      </c>
      <c r="B17" s="7" t="s">
        <v>334</v>
      </c>
      <c r="C17" s="6" t="s">
        <v>35</v>
      </c>
      <c r="D17" s="6" t="s">
        <v>23</v>
      </c>
      <c r="E17" s="8">
        <v>440.06</v>
      </c>
      <c r="F17" s="9">
        <v>3.2833000000000001</v>
      </c>
      <c r="G17" s="8">
        <v>1562.4</v>
      </c>
      <c r="H17" s="8">
        <v>1561.43</v>
      </c>
      <c r="I17" s="8">
        <v>1460.04</v>
      </c>
      <c r="J17" s="9">
        <f t="shared" si="0"/>
        <v>11.6571</v>
      </c>
      <c r="K17" s="9">
        <f t="shared" si="1"/>
        <v>11.649900000000001</v>
      </c>
      <c r="L17" s="9">
        <f t="shared" si="2"/>
        <v>10.8934</v>
      </c>
      <c r="M17" s="9">
        <f>(J17-K17)/K55*100</f>
        <v>2.0762532855985037E-3</v>
      </c>
      <c r="N17" s="9">
        <f>(J17-L17)/L55*100</f>
        <v>0.2406582256143292</v>
      </c>
    </row>
    <row r="18" spans="1:14" x14ac:dyDescent="0.3">
      <c r="A18" s="6">
        <v>15</v>
      </c>
      <c r="B18" s="7" t="s">
        <v>335</v>
      </c>
      <c r="C18" s="6" t="s">
        <v>36</v>
      </c>
      <c r="D18" s="6" t="s">
        <v>23</v>
      </c>
      <c r="E18" s="8">
        <v>157.02000000000001</v>
      </c>
      <c r="F18" s="9">
        <v>3.2833000000000001</v>
      </c>
      <c r="G18" s="8">
        <v>610.14</v>
      </c>
      <c r="H18" s="8">
        <v>609.38</v>
      </c>
      <c r="I18" s="8">
        <v>568.19000000000005</v>
      </c>
      <c r="J18" s="9">
        <f t="shared" si="0"/>
        <v>12.758100000000001</v>
      </c>
      <c r="K18" s="9">
        <f t="shared" si="1"/>
        <v>12.7422</v>
      </c>
      <c r="L18" s="9">
        <f t="shared" si="2"/>
        <v>11.8809</v>
      </c>
      <c r="M18" s="9">
        <f>(J18-K18)/K55*100</f>
        <v>4.5850593390306055E-3</v>
      </c>
      <c r="N18" s="9">
        <f>(J18-L18)/L55*100</f>
        <v>0.27642450636230143</v>
      </c>
    </row>
    <row r="19" spans="1:14" x14ac:dyDescent="0.3">
      <c r="A19" s="6">
        <v>16</v>
      </c>
      <c r="B19" s="7" t="s">
        <v>336</v>
      </c>
      <c r="C19" s="6" t="s">
        <v>37</v>
      </c>
      <c r="D19" s="6" t="s">
        <v>32</v>
      </c>
      <c r="E19" s="8">
        <v>69.39</v>
      </c>
      <c r="F19" s="9">
        <v>0.71240000000000003</v>
      </c>
      <c r="G19" s="8">
        <v>190.61</v>
      </c>
      <c r="H19" s="8">
        <v>190.25</v>
      </c>
      <c r="I19" s="8">
        <v>162.94</v>
      </c>
      <c r="J19" s="9">
        <f t="shared" si="0"/>
        <v>1.9569000000000001</v>
      </c>
      <c r="K19" s="9">
        <f t="shared" si="1"/>
        <v>1.9532</v>
      </c>
      <c r="L19" s="9">
        <f t="shared" si="2"/>
        <v>1.6728000000000001</v>
      </c>
      <c r="M19" s="9">
        <f>(J19-K19)/K55*100</f>
        <v>1.0669634939882481E-3</v>
      </c>
      <c r="N19" s="9">
        <f>(J19-L19)/L55*100</f>
        <v>8.9525994365629066E-2</v>
      </c>
    </row>
    <row r="20" spans="1:14" x14ac:dyDescent="0.3">
      <c r="A20" s="6">
        <v>17</v>
      </c>
      <c r="B20" s="7" t="s">
        <v>337</v>
      </c>
      <c r="C20" s="6" t="s">
        <v>38</v>
      </c>
      <c r="D20" s="6" t="s">
        <v>20</v>
      </c>
      <c r="E20" s="8">
        <v>148.72999999999999</v>
      </c>
      <c r="F20" s="9">
        <v>0.65449999999999997</v>
      </c>
      <c r="G20" s="8">
        <v>252.71</v>
      </c>
      <c r="H20" s="8">
        <v>253.23</v>
      </c>
      <c r="I20" s="8">
        <v>296.10000000000002</v>
      </c>
      <c r="J20" s="9">
        <f t="shared" si="0"/>
        <v>1.1121000000000001</v>
      </c>
      <c r="K20" s="9">
        <f t="shared" si="1"/>
        <v>1.1144000000000001</v>
      </c>
      <c r="L20" s="9">
        <f t="shared" si="2"/>
        <v>1.3029999999999999</v>
      </c>
      <c r="M20" s="9">
        <f>(J20-K20)/K55*100</f>
        <v>-6.6324757734403039E-4</v>
      </c>
      <c r="N20" s="9">
        <f>(J20-L20)/L55*100</f>
        <v>-6.0156678368175211E-2</v>
      </c>
    </row>
    <row r="21" spans="1:14" x14ac:dyDescent="0.3">
      <c r="A21" s="6">
        <v>18</v>
      </c>
      <c r="B21" s="7" t="s">
        <v>338</v>
      </c>
      <c r="C21" s="6" t="s">
        <v>39</v>
      </c>
      <c r="D21" s="6" t="s">
        <v>20</v>
      </c>
      <c r="E21" s="8">
        <v>160.72</v>
      </c>
      <c r="F21" s="9">
        <v>0.87150000000000005</v>
      </c>
      <c r="G21" s="8">
        <v>361.61</v>
      </c>
      <c r="H21" s="8">
        <v>362.64</v>
      </c>
      <c r="I21" s="8">
        <v>387.36</v>
      </c>
      <c r="J21" s="9">
        <f t="shared" si="0"/>
        <v>1.9608000000000001</v>
      </c>
      <c r="K21" s="9">
        <f t="shared" si="1"/>
        <v>1.9663999999999999</v>
      </c>
      <c r="L21" s="9">
        <f t="shared" si="2"/>
        <v>2.1004</v>
      </c>
      <c r="M21" s="9">
        <f>(J21-K21)/K55*100</f>
        <v>-1.614863666576742E-3</v>
      </c>
      <c r="N21" s="9">
        <f>(J21-L21)/L55*100</f>
        <v>-4.3990949712924367E-2</v>
      </c>
    </row>
    <row r="22" spans="1:14" x14ac:dyDescent="0.3">
      <c r="A22" s="6">
        <v>19</v>
      </c>
      <c r="B22" s="7" t="s">
        <v>339</v>
      </c>
      <c r="C22" s="6" t="s">
        <v>40</v>
      </c>
      <c r="D22" s="6" t="s">
        <v>20</v>
      </c>
      <c r="E22" s="8">
        <v>236.58</v>
      </c>
      <c r="F22" s="9">
        <v>0.28549999999999998</v>
      </c>
      <c r="G22" s="8">
        <v>453.81</v>
      </c>
      <c r="H22" s="8">
        <v>455.39</v>
      </c>
      <c r="I22" s="8">
        <v>443.2</v>
      </c>
      <c r="J22" s="9">
        <f t="shared" si="0"/>
        <v>0.54759999999999998</v>
      </c>
      <c r="K22" s="9">
        <f t="shared" si="1"/>
        <v>0.54959999999999998</v>
      </c>
      <c r="L22" s="9">
        <f t="shared" si="2"/>
        <v>0.53480000000000005</v>
      </c>
      <c r="M22" s="9">
        <f>(J22-K22)/K55*100</f>
        <v>-5.7673702377742612E-4</v>
      </c>
      <c r="N22" s="9">
        <f>(J22-L22)/L55*100</f>
        <v>4.0335541284056507E-3</v>
      </c>
    </row>
    <row r="23" spans="1:14" x14ac:dyDescent="0.3">
      <c r="A23" s="6">
        <v>20</v>
      </c>
      <c r="B23" s="7" t="s">
        <v>340</v>
      </c>
      <c r="C23" s="6" t="s">
        <v>41</v>
      </c>
      <c r="D23" s="6" t="s">
        <v>20</v>
      </c>
      <c r="E23" s="8">
        <v>119.53</v>
      </c>
      <c r="F23" s="9">
        <v>0.79669999999999996</v>
      </c>
      <c r="G23" s="8">
        <v>243.19</v>
      </c>
      <c r="H23" s="8">
        <v>242.67</v>
      </c>
      <c r="I23" s="8">
        <v>304.14</v>
      </c>
      <c r="J23" s="9">
        <f t="shared" si="0"/>
        <v>1.6209</v>
      </c>
      <c r="K23" s="9">
        <f t="shared" si="1"/>
        <v>1.6174999999999999</v>
      </c>
      <c r="L23" s="9">
        <f t="shared" si="2"/>
        <v>2.0272000000000001</v>
      </c>
      <c r="M23" s="9">
        <f>(J23-K23)/K55*100</f>
        <v>9.804529404216437E-4</v>
      </c>
      <c r="N23" s="9">
        <f>(J23-L23)/L55*100</f>
        <v>-0.12803383143525204</v>
      </c>
    </row>
    <row r="24" spans="1:14" x14ac:dyDescent="0.3">
      <c r="A24" s="6">
        <v>21</v>
      </c>
      <c r="B24" s="7" t="s">
        <v>341</v>
      </c>
      <c r="C24" s="6" t="s">
        <v>42</v>
      </c>
      <c r="D24" s="6" t="s">
        <v>20</v>
      </c>
      <c r="E24" s="8">
        <v>24.79</v>
      </c>
      <c r="F24" s="9">
        <v>2.2955000000000001</v>
      </c>
      <c r="G24" s="8">
        <v>58.04</v>
      </c>
      <c r="H24" s="8">
        <v>57.4</v>
      </c>
      <c r="I24" s="8">
        <v>84.25</v>
      </c>
      <c r="J24" s="9">
        <f t="shared" si="0"/>
        <v>5.3743999999999996</v>
      </c>
      <c r="K24" s="9">
        <f t="shared" si="1"/>
        <v>5.3151000000000002</v>
      </c>
      <c r="L24" s="9">
        <f t="shared" si="2"/>
        <v>7.8014000000000001</v>
      </c>
      <c r="M24" s="9">
        <f>(J24-K24)/K55*100</f>
        <v>1.7100252755000517E-2</v>
      </c>
      <c r="N24" s="9">
        <f>(J24-L24)/L55*100</f>
        <v>-0.76479967731566978</v>
      </c>
    </row>
    <row r="25" spans="1:14" x14ac:dyDescent="0.3">
      <c r="A25" s="6">
        <v>22</v>
      </c>
      <c r="B25" s="7" t="s">
        <v>342</v>
      </c>
      <c r="C25" s="6" t="s">
        <v>43</v>
      </c>
      <c r="D25" s="6" t="s">
        <v>20</v>
      </c>
      <c r="E25" s="8">
        <v>43.08</v>
      </c>
      <c r="F25" s="9">
        <v>2.6815000000000002</v>
      </c>
      <c r="G25" s="8">
        <v>102.45</v>
      </c>
      <c r="H25" s="8">
        <v>107.1</v>
      </c>
      <c r="I25" s="8">
        <v>55.86</v>
      </c>
      <c r="J25" s="9">
        <f t="shared" si="0"/>
        <v>6.3769999999999998</v>
      </c>
      <c r="K25" s="9">
        <f t="shared" si="1"/>
        <v>6.6664000000000003</v>
      </c>
      <c r="L25" s="9">
        <f t="shared" si="2"/>
        <v>3.4769999999999999</v>
      </c>
      <c r="M25" s="9">
        <f>(J25-K25)/K55*100</f>
        <v>-8.3453847340593648E-2</v>
      </c>
      <c r="N25" s="9">
        <f>(J25-L25)/L55*100</f>
        <v>0.91385210721691057</v>
      </c>
    </row>
    <row r="26" spans="1:14" x14ac:dyDescent="0.3">
      <c r="A26" s="6">
        <v>23</v>
      </c>
      <c r="B26" s="7" t="s">
        <v>343</v>
      </c>
      <c r="C26" s="6" t="s">
        <v>44</v>
      </c>
      <c r="D26" s="6" t="s">
        <v>20</v>
      </c>
      <c r="E26" s="8">
        <v>46.04</v>
      </c>
      <c r="F26" s="9">
        <v>1.4395</v>
      </c>
      <c r="G26" s="8">
        <v>356.88</v>
      </c>
      <c r="H26" s="8">
        <v>258.89999999999998</v>
      </c>
      <c r="I26" s="8">
        <v>114.09</v>
      </c>
      <c r="J26" s="9">
        <f t="shared" si="0"/>
        <v>11.158300000000001</v>
      </c>
      <c r="K26" s="9">
        <f t="shared" si="1"/>
        <v>8.0947999999999993</v>
      </c>
      <c r="L26" s="9">
        <f t="shared" si="2"/>
        <v>3.5672000000000001</v>
      </c>
      <c r="M26" s="9">
        <f>(J26-K26)/K55*100</f>
        <v>0.8834169361710722</v>
      </c>
      <c r="N26" s="9">
        <f>(J26-L26)/L55*100</f>
        <v>2.3921181831359624</v>
      </c>
    </row>
    <row r="27" spans="1:14" x14ac:dyDescent="0.3">
      <c r="A27" s="6">
        <v>24</v>
      </c>
      <c r="B27" s="7" t="s">
        <v>344</v>
      </c>
      <c r="C27" s="6" t="s">
        <v>45</v>
      </c>
      <c r="D27" s="6" t="s">
        <v>20</v>
      </c>
      <c r="E27" s="8">
        <v>63.01</v>
      </c>
      <c r="F27" s="9">
        <v>5.1147999999999998</v>
      </c>
      <c r="G27" s="8">
        <v>149.66</v>
      </c>
      <c r="H27" s="8">
        <v>149.85</v>
      </c>
      <c r="I27" s="8">
        <v>181.48</v>
      </c>
      <c r="J27" s="9">
        <f t="shared" si="0"/>
        <v>12.1486</v>
      </c>
      <c r="K27" s="9">
        <f t="shared" si="1"/>
        <v>12.164</v>
      </c>
      <c r="L27" s="9">
        <f t="shared" si="2"/>
        <v>14.7315</v>
      </c>
      <c r="M27" s="9">
        <f>(J27-K27)/K55*100</f>
        <v>-4.4408750830860731E-3</v>
      </c>
      <c r="N27" s="9">
        <f>(J27-L27)/L55*100</f>
        <v>-0.81392710611398567</v>
      </c>
    </row>
    <row r="28" spans="1:14" x14ac:dyDescent="0.3">
      <c r="A28" s="6">
        <v>25</v>
      </c>
      <c r="B28" s="7" t="s">
        <v>345</v>
      </c>
      <c r="C28" s="6" t="s">
        <v>46</v>
      </c>
      <c r="D28" s="6" t="s">
        <v>20</v>
      </c>
      <c r="E28" s="8">
        <v>88.44</v>
      </c>
      <c r="F28" s="9">
        <v>0.2341</v>
      </c>
      <c r="G28" s="8">
        <v>242.26</v>
      </c>
      <c r="H28" s="8">
        <v>242.23</v>
      </c>
      <c r="I28" s="8">
        <v>249.12</v>
      </c>
      <c r="J28" s="9">
        <f t="shared" si="0"/>
        <v>0.64129999999999998</v>
      </c>
      <c r="K28" s="9">
        <f t="shared" si="1"/>
        <v>0.64119999999999999</v>
      </c>
      <c r="L28" s="9">
        <f t="shared" si="2"/>
        <v>0.65939999999999999</v>
      </c>
      <c r="M28" s="9">
        <f>(J28-K28)/K55*100</f>
        <v>2.8836851188868108E-5</v>
      </c>
      <c r="N28" s="9">
        <f>(J28-L28)/L55*100</f>
        <v>-5.703697634698651E-3</v>
      </c>
    </row>
    <row r="29" spans="1:14" x14ac:dyDescent="0.3">
      <c r="A29" s="6">
        <v>26</v>
      </c>
      <c r="B29" s="7" t="s">
        <v>346</v>
      </c>
      <c r="C29" s="6" t="s">
        <v>47</v>
      </c>
      <c r="D29" s="6" t="s">
        <v>23</v>
      </c>
      <c r="E29" s="8">
        <v>24.99</v>
      </c>
      <c r="F29" s="9">
        <v>0.28439999999999999</v>
      </c>
      <c r="G29" s="8">
        <v>62.14</v>
      </c>
      <c r="H29" s="8">
        <v>62.14</v>
      </c>
      <c r="I29" s="8">
        <v>72.77</v>
      </c>
      <c r="J29" s="9">
        <f t="shared" si="0"/>
        <v>0.70720000000000005</v>
      </c>
      <c r="K29" s="9">
        <f t="shared" si="1"/>
        <v>0.70720000000000005</v>
      </c>
      <c r="L29" s="9">
        <f t="shared" si="2"/>
        <v>0.82820000000000005</v>
      </c>
      <c r="M29" s="9">
        <f>(J29-K29)/K55*100</f>
        <v>0</v>
      </c>
      <c r="N29" s="9">
        <f>(J29-L29)/L55*100</f>
        <v>-3.8129691370084894E-2</v>
      </c>
    </row>
    <row r="30" spans="1:14" x14ac:dyDescent="0.3">
      <c r="A30" s="6">
        <v>27</v>
      </c>
      <c r="B30" s="7" t="s">
        <v>347</v>
      </c>
      <c r="C30" s="6" t="s">
        <v>48</v>
      </c>
      <c r="D30" s="6" t="s">
        <v>23</v>
      </c>
      <c r="E30" s="8">
        <v>105</v>
      </c>
      <c r="F30" s="9">
        <v>1.3895999999999999</v>
      </c>
      <c r="G30" s="8">
        <v>378.9</v>
      </c>
      <c r="H30" s="8">
        <v>378.9</v>
      </c>
      <c r="I30" s="8">
        <v>320</v>
      </c>
      <c r="J30" s="9">
        <f t="shared" si="0"/>
        <v>5.0145</v>
      </c>
      <c r="K30" s="9">
        <f t="shared" si="1"/>
        <v>5.0145</v>
      </c>
      <c r="L30" s="9">
        <f t="shared" si="2"/>
        <v>4.2350000000000003</v>
      </c>
      <c r="M30" s="9">
        <f>(J30-K30)/K55*100</f>
        <v>0</v>
      </c>
      <c r="N30" s="9">
        <f>(J30-L30)/L55*100</f>
        <v>0.24563714399157985</v>
      </c>
    </row>
    <row r="31" spans="1:14" x14ac:dyDescent="0.3">
      <c r="A31" s="6">
        <v>28</v>
      </c>
      <c r="B31" s="7" t="s">
        <v>348</v>
      </c>
      <c r="C31" s="6" t="s">
        <v>49</v>
      </c>
      <c r="D31" s="6" t="s">
        <v>20</v>
      </c>
      <c r="E31" s="8">
        <v>203.97</v>
      </c>
      <c r="F31" s="9">
        <v>0.68069999999999997</v>
      </c>
      <c r="G31" s="8">
        <v>367.05</v>
      </c>
      <c r="H31" s="8">
        <v>366.66</v>
      </c>
      <c r="I31" s="8">
        <v>373.34</v>
      </c>
      <c r="J31" s="9">
        <f t="shared" si="0"/>
        <v>1.2249000000000001</v>
      </c>
      <c r="K31" s="9">
        <f t="shared" si="1"/>
        <v>1.2236</v>
      </c>
      <c r="L31" s="9">
        <f t="shared" si="2"/>
        <v>1.2459</v>
      </c>
      <c r="M31" s="9">
        <f>(J31-K31)/K55*100</f>
        <v>3.7487906545534937E-4</v>
      </c>
      <c r="N31" s="9">
        <f>(J31-L31)/L55*100</f>
        <v>-6.6175497419155302E-3</v>
      </c>
    </row>
    <row r="32" spans="1:14" x14ac:dyDescent="0.3">
      <c r="A32" s="6">
        <v>29</v>
      </c>
      <c r="B32" s="7" t="s">
        <v>349</v>
      </c>
      <c r="C32" s="6" t="s">
        <v>50</v>
      </c>
      <c r="D32" s="6" t="s">
        <v>23</v>
      </c>
      <c r="E32" s="8">
        <v>163.58000000000001</v>
      </c>
      <c r="F32" s="9">
        <v>3.1478000000000002</v>
      </c>
      <c r="G32" s="8">
        <v>460.85</v>
      </c>
      <c r="H32" s="8">
        <v>458.2</v>
      </c>
      <c r="I32" s="8">
        <v>447.09</v>
      </c>
      <c r="J32" s="9">
        <f t="shared" si="0"/>
        <v>8.8681999999999999</v>
      </c>
      <c r="K32" s="9">
        <f t="shared" si="1"/>
        <v>8.8171999999999997</v>
      </c>
      <c r="L32" s="9">
        <f t="shared" si="2"/>
        <v>8.6034000000000006</v>
      </c>
      <c r="M32" s="9">
        <f>(J32-K32)/K55*100</f>
        <v>1.4706794106324398E-2</v>
      </c>
      <c r="N32" s="9">
        <f>(J32-L32)/L55*100</f>
        <v>8.3444151031392161E-2</v>
      </c>
    </row>
    <row r="33" spans="1:14" x14ac:dyDescent="0.3">
      <c r="A33" s="6">
        <v>30</v>
      </c>
      <c r="B33" s="7" t="s">
        <v>350</v>
      </c>
      <c r="C33" s="6" t="s">
        <v>51</v>
      </c>
      <c r="D33" s="6" t="s">
        <v>52</v>
      </c>
      <c r="E33" s="8">
        <v>78.430000000000007</v>
      </c>
      <c r="F33" s="9">
        <v>0.50329999999999997</v>
      </c>
      <c r="G33" s="8">
        <v>339.36</v>
      </c>
      <c r="H33" s="8">
        <v>339.16</v>
      </c>
      <c r="I33" s="8">
        <v>320.92</v>
      </c>
      <c r="J33" s="9">
        <f t="shared" si="0"/>
        <v>2.1777000000000002</v>
      </c>
      <c r="K33" s="9">
        <f t="shared" si="1"/>
        <v>2.1764999999999999</v>
      </c>
      <c r="L33" s="9">
        <f t="shared" si="2"/>
        <v>2.0594000000000001</v>
      </c>
      <c r="M33" s="9">
        <f>(J33-K33)/K55*100</f>
        <v>3.4604221426654533E-4</v>
      </c>
      <c r="N33" s="9">
        <f>(J33-L33)/L55*100</f>
        <v>3.7278863546124343E-2</v>
      </c>
    </row>
    <row r="34" spans="1:14" x14ac:dyDescent="0.3">
      <c r="A34" s="6">
        <v>31</v>
      </c>
      <c r="B34" s="7" t="s">
        <v>351</v>
      </c>
      <c r="C34" s="6" t="s">
        <v>53</v>
      </c>
      <c r="D34" s="6" t="s">
        <v>52</v>
      </c>
      <c r="E34" s="8">
        <v>51.13</v>
      </c>
      <c r="F34" s="9">
        <v>1.3118000000000001</v>
      </c>
      <c r="G34" s="8">
        <v>182.73</v>
      </c>
      <c r="H34" s="8">
        <v>182.52</v>
      </c>
      <c r="I34" s="8">
        <v>178.35</v>
      </c>
      <c r="J34" s="9">
        <f t="shared" si="0"/>
        <v>4.6882000000000001</v>
      </c>
      <c r="K34" s="9">
        <f t="shared" si="1"/>
        <v>4.6828000000000003</v>
      </c>
      <c r="L34" s="9">
        <f t="shared" si="2"/>
        <v>4.5758000000000001</v>
      </c>
      <c r="M34" s="9">
        <f>(J34-K34)/K55*100</f>
        <v>1.5571899641990058E-3</v>
      </c>
      <c r="N34" s="9">
        <f>(J34-L34)/L55*100</f>
        <v>3.5419647190062346E-2</v>
      </c>
    </row>
    <row r="35" spans="1:14" x14ac:dyDescent="0.3">
      <c r="A35" s="6">
        <v>32</v>
      </c>
      <c r="B35" s="7" t="s">
        <v>352</v>
      </c>
      <c r="C35" s="6" t="s">
        <v>54</v>
      </c>
      <c r="D35" s="6" t="s">
        <v>55</v>
      </c>
      <c r="E35" s="8">
        <v>19.47</v>
      </c>
      <c r="F35" s="9">
        <v>2.5003000000000002</v>
      </c>
      <c r="G35" s="8">
        <v>68.86</v>
      </c>
      <c r="H35" s="8">
        <v>68.62</v>
      </c>
      <c r="I35" s="8">
        <v>63.97</v>
      </c>
      <c r="J35" s="9">
        <f t="shared" si="0"/>
        <v>8.8429000000000002</v>
      </c>
      <c r="K35" s="9">
        <f t="shared" si="1"/>
        <v>8.8119999999999994</v>
      </c>
      <c r="L35" s="9">
        <f t="shared" si="2"/>
        <v>8.2149000000000001</v>
      </c>
      <c r="M35" s="9">
        <f>(J35-K35)/K55*100</f>
        <v>8.9105870173614606E-3</v>
      </c>
      <c r="N35" s="9">
        <f>(J35-L35)/L55*100</f>
        <v>0.19789624942490344</v>
      </c>
    </row>
    <row r="36" spans="1:14" x14ac:dyDescent="0.3">
      <c r="A36" s="6">
        <v>33</v>
      </c>
      <c r="B36" s="7" t="s">
        <v>353</v>
      </c>
      <c r="C36" s="6" t="s">
        <v>56</v>
      </c>
      <c r="D36" s="6" t="s">
        <v>23</v>
      </c>
      <c r="E36" s="8">
        <v>59.33</v>
      </c>
      <c r="F36" s="9">
        <v>1.617</v>
      </c>
      <c r="G36" s="8">
        <v>256.56</v>
      </c>
      <c r="H36" s="8">
        <v>256.56</v>
      </c>
      <c r="I36" s="8">
        <v>243.73</v>
      </c>
      <c r="J36" s="9">
        <f t="shared" ref="J36:J54" si="3">ROUND(ROUND(ROUND(G36*F36,4)*100/E36,4)/100,4)</f>
        <v>6.9923999999999999</v>
      </c>
      <c r="K36" s="9">
        <f t="shared" ref="K36:K54" si="4">ROUND(ROUND(ROUND(H36*F36,4)*100/E36,4)/100,4)</f>
        <v>6.9923999999999999</v>
      </c>
      <c r="L36" s="9">
        <f t="shared" ref="L36:L54" si="5">ROUND(ROUND(ROUND(I36*F36,4)*100/E36,4)/100,4)</f>
        <v>6.6426999999999996</v>
      </c>
      <c r="M36" s="9">
        <f>(J36-K36)/K55*100</f>
        <v>0</v>
      </c>
      <c r="N36" s="9">
        <f>(J36-L36)/L55*100</f>
        <v>0.11019795927370826</v>
      </c>
    </row>
    <row r="37" spans="1:14" x14ac:dyDescent="0.3">
      <c r="A37" s="6">
        <v>34</v>
      </c>
      <c r="B37" s="7" t="s">
        <v>354</v>
      </c>
      <c r="C37" s="6" t="s">
        <v>57</v>
      </c>
      <c r="D37" s="6" t="s">
        <v>58</v>
      </c>
      <c r="E37" s="8">
        <v>205.42</v>
      </c>
      <c r="F37" s="9">
        <v>4.2221000000000002</v>
      </c>
      <c r="G37" s="8">
        <v>753.5</v>
      </c>
      <c r="H37" s="8">
        <v>753.5</v>
      </c>
      <c r="I37" s="8">
        <v>711.66</v>
      </c>
      <c r="J37" s="9">
        <f t="shared" si="3"/>
        <v>15.4871</v>
      </c>
      <c r="K37" s="9">
        <f t="shared" si="4"/>
        <v>15.4871</v>
      </c>
      <c r="L37" s="9">
        <f t="shared" si="5"/>
        <v>14.6271</v>
      </c>
      <c r="M37" s="9">
        <f>(J37-K37)/K55*100</f>
        <v>0</v>
      </c>
      <c r="N37" s="9">
        <f>(J37-L37)/L55*100</f>
        <v>0.27100441800225605</v>
      </c>
    </row>
    <row r="38" spans="1:14" x14ac:dyDescent="0.3">
      <c r="A38" s="6">
        <v>35</v>
      </c>
      <c r="B38" s="7" t="s">
        <v>355</v>
      </c>
      <c r="C38" s="6" t="s">
        <v>59</v>
      </c>
      <c r="D38" s="6" t="s">
        <v>58</v>
      </c>
      <c r="E38" s="8">
        <v>154.02000000000001</v>
      </c>
      <c r="F38" s="9">
        <v>3.1699999999999999E-2</v>
      </c>
      <c r="G38" s="8">
        <v>579.35</v>
      </c>
      <c r="H38" s="8">
        <v>579.35</v>
      </c>
      <c r="I38" s="8">
        <v>543.91999999999996</v>
      </c>
      <c r="J38" s="9">
        <f t="shared" si="3"/>
        <v>0.1192</v>
      </c>
      <c r="K38" s="9">
        <f t="shared" si="4"/>
        <v>0.1192</v>
      </c>
      <c r="L38" s="9">
        <f t="shared" si="5"/>
        <v>0.1119</v>
      </c>
      <c r="M38" s="9">
        <f>(J38-K38)/K55*100</f>
        <v>0</v>
      </c>
      <c r="N38" s="9">
        <f>(J38-L38)/L55*100</f>
        <v>2.3003863388563616E-3</v>
      </c>
    </row>
    <row r="39" spans="1:14" x14ac:dyDescent="0.3">
      <c r="A39" s="6">
        <v>36</v>
      </c>
      <c r="B39" s="7" t="s">
        <v>356</v>
      </c>
      <c r="C39" s="6" t="s">
        <v>60</v>
      </c>
      <c r="D39" s="6" t="s">
        <v>58</v>
      </c>
      <c r="E39" s="8">
        <v>273.45999999999998</v>
      </c>
      <c r="F39" s="9">
        <v>2.3441999999999998</v>
      </c>
      <c r="G39" s="8">
        <v>744.33</v>
      </c>
      <c r="H39" s="8">
        <v>744.33</v>
      </c>
      <c r="I39" s="8">
        <v>714.74</v>
      </c>
      <c r="J39" s="9">
        <f t="shared" si="3"/>
        <v>6.3807</v>
      </c>
      <c r="K39" s="9">
        <f t="shared" si="4"/>
        <v>6.3807</v>
      </c>
      <c r="L39" s="9">
        <f t="shared" si="5"/>
        <v>6.1269999999999998</v>
      </c>
      <c r="M39" s="9">
        <f>(J39-K39)/K55*100</f>
        <v>0</v>
      </c>
      <c r="N39" s="9">
        <f>(J39-L39)/L55*100</f>
        <v>7.9946303310665684E-2</v>
      </c>
    </row>
    <row r="40" spans="1:14" x14ac:dyDescent="0.3">
      <c r="A40" s="6">
        <v>37</v>
      </c>
      <c r="B40" s="7" t="s">
        <v>357</v>
      </c>
      <c r="C40" s="6" t="s">
        <v>61</v>
      </c>
      <c r="D40" s="6" t="s">
        <v>58</v>
      </c>
      <c r="E40" s="8">
        <v>121.34</v>
      </c>
      <c r="F40" s="9">
        <v>0.75839999999999996</v>
      </c>
      <c r="G40" s="8">
        <v>363.79</v>
      </c>
      <c r="H40" s="8">
        <v>363.79</v>
      </c>
      <c r="I40" s="8">
        <v>323.88</v>
      </c>
      <c r="J40" s="9">
        <f t="shared" si="3"/>
        <v>2.2738</v>
      </c>
      <c r="K40" s="9">
        <f t="shared" si="4"/>
        <v>2.2738</v>
      </c>
      <c r="L40" s="9">
        <f t="shared" si="5"/>
        <v>2.0243000000000002</v>
      </c>
      <c r="M40" s="9">
        <f>(J40-K40)/K55*100</f>
        <v>0</v>
      </c>
      <c r="N40" s="9">
        <f>(J40-L40)/L55*100</f>
        <v>7.8622793362282423E-2</v>
      </c>
    </row>
    <row r="41" spans="1:14" x14ac:dyDescent="0.3">
      <c r="A41" s="6">
        <v>38</v>
      </c>
      <c r="B41" s="7" t="s">
        <v>358</v>
      </c>
      <c r="C41" s="6" t="s">
        <v>62</v>
      </c>
      <c r="D41" s="6" t="s">
        <v>63</v>
      </c>
      <c r="E41" s="8">
        <v>699</v>
      </c>
      <c r="F41" s="9">
        <v>0.63500000000000001</v>
      </c>
      <c r="G41" s="8">
        <v>2499</v>
      </c>
      <c r="H41" s="8">
        <v>2499</v>
      </c>
      <c r="I41" s="8">
        <v>2499</v>
      </c>
      <c r="J41" s="9">
        <f t="shared" si="3"/>
        <v>2.2702</v>
      </c>
      <c r="K41" s="9">
        <f t="shared" si="4"/>
        <v>2.2702</v>
      </c>
      <c r="L41" s="9">
        <f t="shared" si="5"/>
        <v>2.2702</v>
      </c>
      <c r="M41" s="9">
        <f>(J41-K41)/K55*100</f>
        <v>0</v>
      </c>
      <c r="N41" s="9">
        <f>(J41-L41)/L55*100</f>
        <v>0</v>
      </c>
    </row>
    <row r="42" spans="1:14" x14ac:dyDescent="0.3">
      <c r="A42" s="6">
        <v>39</v>
      </c>
      <c r="B42" s="7" t="s">
        <v>359</v>
      </c>
      <c r="C42" s="6" t="s">
        <v>64</v>
      </c>
      <c r="D42" s="6" t="s">
        <v>63</v>
      </c>
      <c r="E42" s="8">
        <v>199</v>
      </c>
      <c r="F42" s="9">
        <v>0.21099999999999999</v>
      </c>
      <c r="G42" s="8">
        <v>699</v>
      </c>
      <c r="H42" s="8">
        <v>699</v>
      </c>
      <c r="I42" s="8">
        <v>599</v>
      </c>
      <c r="J42" s="9">
        <f t="shared" si="3"/>
        <v>0.74119999999999997</v>
      </c>
      <c r="K42" s="9">
        <f t="shared" si="4"/>
        <v>0.74119999999999997</v>
      </c>
      <c r="L42" s="9">
        <f t="shared" si="5"/>
        <v>0.6351</v>
      </c>
      <c r="M42" s="9">
        <f>(J42-K42)/K55*100</f>
        <v>0</v>
      </c>
      <c r="N42" s="9">
        <f>(J42-L42)/L55*100</f>
        <v>3.3434382267487656E-2</v>
      </c>
    </row>
    <row r="43" spans="1:14" x14ac:dyDescent="0.3">
      <c r="A43" s="6">
        <v>40</v>
      </c>
      <c r="B43" s="7" t="s">
        <v>360</v>
      </c>
      <c r="C43" s="6" t="s">
        <v>65</v>
      </c>
      <c r="D43" s="6" t="s">
        <v>63</v>
      </c>
      <c r="E43" s="8">
        <v>499</v>
      </c>
      <c r="F43" s="9">
        <v>0.9919</v>
      </c>
      <c r="G43" s="8">
        <v>1499</v>
      </c>
      <c r="H43" s="8">
        <v>1499</v>
      </c>
      <c r="I43" s="8">
        <v>1399</v>
      </c>
      <c r="J43" s="9">
        <f t="shared" si="3"/>
        <v>2.9796999999999998</v>
      </c>
      <c r="K43" s="9">
        <f t="shared" si="4"/>
        <v>2.9796999999999998</v>
      </c>
      <c r="L43" s="9">
        <f t="shared" si="5"/>
        <v>2.7808999999999999</v>
      </c>
      <c r="M43" s="9">
        <f>(J43-K43)/K55*100</f>
        <v>0</v>
      </c>
      <c r="N43" s="9">
        <f>(J43-L43)/L55*100</f>
        <v>6.2646137556800582E-2</v>
      </c>
    </row>
    <row r="44" spans="1:14" x14ac:dyDescent="0.3">
      <c r="A44" s="6">
        <v>41</v>
      </c>
      <c r="B44" s="7" t="s">
        <v>361</v>
      </c>
      <c r="C44" s="6" t="s">
        <v>66</v>
      </c>
      <c r="D44" s="6" t="s">
        <v>67</v>
      </c>
      <c r="E44" s="8">
        <v>2.34</v>
      </c>
      <c r="F44" s="9">
        <v>8.3627000000000002</v>
      </c>
      <c r="G44" s="8">
        <v>6.95</v>
      </c>
      <c r="H44" s="8">
        <v>6.95</v>
      </c>
      <c r="I44" s="8">
        <v>5.66</v>
      </c>
      <c r="J44" s="9">
        <f t="shared" si="3"/>
        <v>24.837900000000001</v>
      </c>
      <c r="K44" s="9">
        <f t="shared" si="4"/>
        <v>24.837900000000001</v>
      </c>
      <c r="L44" s="9">
        <f t="shared" si="5"/>
        <v>20.227699999999999</v>
      </c>
      <c r="M44" s="9">
        <f>(J44-K44)/K55*100</f>
        <v>0</v>
      </c>
      <c r="N44" s="9">
        <f>(J44-L44)/L55*100</f>
        <v>1.4527727533418633</v>
      </c>
    </row>
    <row r="45" spans="1:14" x14ac:dyDescent="0.3">
      <c r="A45" s="6">
        <v>42</v>
      </c>
      <c r="B45" s="7" t="s">
        <v>362</v>
      </c>
      <c r="C45" s="6" t="s">
        <v>404</v>
      </c>
      <c r="D45" s="6" t="s">
        <v>69</v>
      </c>
      <c r="E45" s="8">
        <v>127.94</v>
      </c>
      <c r="F45" s="9">
        <v>2.0674000000000001</v>
      </c>
      <c r="G45" s="8">
        <v>2566.5</v>
      </c>
      <c r="H45" s="8">
        <v>2566.5</v>
      </c>
      <c r="I45" s="8">
        <v>2566.5</v>
      </c>
      <c r="J45" s="9">
        <f t="shared" si="3"/>
        <v>41.4724</v>
      </c>
      <c r="K45" s="9">
        <f t="shared" si="4"/>
        <v>41.4724</v>
      </c>
      <c r="L45" s="9">
        <f t="shared" si="5"/>
        <v>41.4724</v>
      </c>
      <c r="M45" s="9">
        <f>(J45-K45)/K55*100</f>
        <v>0</v>
      </c>
      <c r="N45" s="9">
        <f>(J45-L45)/L55*100</f>
        <v>0</v>
      </c>
    </row>
    <row r="46" spans="1:14" x14ac:dyDescent="0.3">
      <c r="A46" s="6">
        <v>43</v>
      </c>
      <c r="B46" s="7" t="s">
        <v>363</v>
      </c>
      <c r="C46" s="6" t="s">
        <v>70</v>
      </c>
      <c r="D46" s="6" t="s">
        <v>71</v>
      </c>
      <c r="E46" s="8">
        <v>616.21</v>
      </c>
      <c r="F46" s="9">
        <v>5.0812999999999997</v>
      </c>
      <c r="G46" s="8">
        <v>1611.53</v>
      </c>
      <c r="H46" s="8">
        <v>1611.53</v>
      </c>
      <c r="I46" s="8">
        <v>1452.67</v>
      </c>
      <c r="J46" s="9">
        <f t="shared" si="3"/>
        <v>13.2888</v>
      </c>
      <c r="K46" s="9">
        <f t="shared" si="4"/>
        <v>13.2888</v>
      </c>
      <c r="L46" s="9">
        <f t="shared" si="5"/>
        <v>11.9788</v>
      </c>
      <c r="M46" s="9">
        <f>(J46-K46)/K55*100</f>
        <v>0</v>
      </c>
      <c r="N46" s="9">
        <f>(J46-L46)/L55*100</f>
        <v>0.41280905532901835</v>
      </c>
    </row>
    <row r="47" spans="1:14" x14ac:dyDescent="0.3">
      <c r="A47" s="6">
        <v>44</v>
      </c>
      <c r="B47" s="7" t="s">
        <v>364</v>
      </c>
      <c r="C47" s="6" t="s">
        <v>72</v>
      </c>
      <c r="D47" s="6" t="s">
        <v>23</v>
      </c>
      <c r="E47" s="8">
        <v>168.29</v>
      </c>
      <c r="F47" s="9">
        <v>0.2495</v>
      </c>
      <c r="G47" s="8">
        <v>418.59</v>
      </c>
      <c r="H47" s="8">
        <v>418.59</v>
      </c>
      <c r="I47" s="8">
        <v>406.47</v>
      </c>
      <c r="J47" s="9">
        <f t="shared" si="3"/>
        <v>0.62060000000000004</v>
      </c>
      <c r="K47" s="9">
        <f t="shared" si="4"/>
        <v>0.62060000000000004</v>
      </c>
      <c r="L47" s="9">
        <f t="shared" si="5"/>
        <v>0.60260000000000002</v>
      </c>
      <c r="M47" s="9">
        <f>(J47-K47)/K55*100</f>
        <v>0</v>
      </c>
      <c r="N47" s="9">
        <f>(J47-L47)/L55*100</f>
        <v>5.6721854930704843E-3</v>
      </c>
    </row>
    <row r="48" spans="1:14" x14ac:dyDescent="0.3">
      <c r="A48" s="6">
        <v>45</v>
      </c>
      <c r="B48" s="7" t="s">
        <v>365</v>
      </c>
      <c r="C48" s="6" t="s">
        <v>73</v>
      </c>
      <c r="D48" s="6" t="s">
        <v>23</v>
      </c>
      <c r="E48" s="8">
        <v>39.97</v>
      </c>
      <c r="F48" s="9">
        <v>1.1177999999999999</v>
      </c>
      <c r="G48" s="8">
        <v>144.59</v>
      </c>
      <c r="H48" s="8">
        <v>143.9</v>
      </c>
      <c r="I48" s="8">
        <v>131.18</v>
      </c>
      <c r="J48" s="9">
        <f t="shared" si="3"/>
        <v>4.0435999999999996</v>
      </c>
      <c r="K48" s="9">
        <f t="shared" si="4"/>
        <v>4.0243000000000002</v>
      </c>
      <c r="L48" s="9">
        <f t="shared" si="5"/>
        <v>3.6686000000000001</v>
      </c>
      <c r="M48" s="9">
        <f>(J48-K48)/K55*100</f>
        <v>5.5655122794519927E-3</v>
      </c>
      <c r="N48" s="9">
        <f>(J48-L48)/L55*100</f>
        <v>0.11817053110563486</v>
      </c>
    </row>
    <row r="49" spans="1:14" x14ac:dyDescent="0.3">
      <c r="A49" s="6">
        <v>46</v>
      </c>
      <c r="B49" s="7" t="s">
        <v>366</v>
      </c>
      <c r="C49" s="6" t="s">
        <v>74</v>
      </c>
      <c r="D49" s="6" t="s">
        <v>23</v>
      </c>
      <c r="E49" s="8">
        <v>1.9</v>
      </c>
      <c r="F49" s="9">
        <v>0.34949999999999998</v>
      </c>
      <c r="G49" s="8">
        <v>6.64</v>
      </c>
      <c r="H49" s="8">
        <v>6.64</v>
      </c>
      <c r="I49" s="8">
        <v>6.62</v>
      </c>
      <c r="J49" s="9">
        <f t="shared" si="3"/>
        <v>1.2214</v>
      </c>
      <c r="K49" s="9">
        <f t="shared" si="4"/>
        <v>1.2214</v>
      </c>
      <c r="L49" s="9">
        <f t="shared" si="5"/>
        <v>1.2177</v>
      </c>
      <c r="M49" s="9">
        <f>(J49-K49)/K55*100</f>
        <v>0</v>
      </c>
      <c r="N49" s="9">
        <f>(J49-L49)/L55*100</f>
        <v>1.1659492402422769E-3</v>
      </c>
    </row>
    <row r="50" spans="1:14" x14ac:dyDescent="0.3">
      <c r="A50" s="6">
        <v>47</v>
      </c>
      <c r="B50" s="7" t="s">
        <v>367</v>
      </c>
      <c r="C50" s="6" t="s">
        <v>75</v>
      </c>
      <c r="D50" s="6" t="s">
        <v>76</v>
      </c>
      <c r="E50" s="8">
        <v>74.19</v>
      </c>
      <c r="F50" s="9">
        <v>1.4673</v>
      </c>
      <c r="G50" s="8">
        <v>328.28</v>
      </c>
      <c r="H50" s="8">
        <v>311.83</v>
      </c>
      <c r="I50" s="8">
        <v>273.2</v>
      </c>
      <c r="J50" s="9">
        <f t="shared" si="3"/>
        <v>6.4926000000000004</v>
      </c>
      <c r="K50" s="9">
        <f t="shared" si="4"/>
        <v>6.1672000000000002</v>
      </c>
      <c r="L50" s="9">
        <f t="shared" si="5"/>
        <v>5.4032</v>
      </c>
      <c r="M50" s="9">
        <f>(J50-K50)/K55*100</f>
        <v>9.3835113768587192E-2</v>
      </c>
      <c r="N50" s="9">
        <f>(J50-L50)/L55*100</f>
        <v>0.34329327089727679</v>
      </c>
    </row>
    <row r="51" spans="1:14" x14ac:dyDescent="0.3">
      <c r="A51" s="6">
        <v>48</v>
      </c>
      <c r="B51" s="7" t="s">
        <v>368</v>
      </c>
      <c r="C51" s="6" t="s">
        <v>77</v>
      </c>
      <c r="D51" s="6" t="s">
        <v>76</v>
      </c>
      <c r="E51" s="8">
        <v>79.290000000000006</v>
      </c>
      <c r="F51" s="9">
        <v>1.14E-2</v>
      </c>
      <c r="G51" s="8">
        <v>376.14</v>
      </c>
      <c r="H51" s="8">
        <v>324.39999999999998</v>
      </c>
      <c r="I51" s="8">
        <v>285.38</v>
      </c>
      <c r="J51" s="9">
        <f t="shared" si="3"/>
        <v>5.4100000000000002E-2</v>
      </c>
      <c r="K51" s="9">
        <f t="shared" si="4"/>
        <v>4.6600000000000003E-2</v>
      </c>
      <c r="L51" s="9">
        <f t="shared" si="5"/>
        <v>4.1000000000000002E-2</v>
      </c>
      <c r="M51" s="9">
        <f>(J51-K51)/K55*100</f>
        <v>2.162763839165346E-3</v>
      </c>
      <c r="N51" s="9">
        <f>(J51-L51)/L55*100</f>
        <v>4.1280905532901828E-3</v>
      </c>
    </row>
    <row r="52" spans="1:14" x14ac:dyDescent="0.3">
      <c r="A52" s="6">
        <v>49</v>
      </c>
      <c r="B52" s="7" t="s">
        <v>369</v>
      </c>
      <c r="C52" s="6" t="s">
        <v>78</v>
      </c>
      <c r="D52" s="6" t="s">
        <v>23</v>
      </c>
      <c r="E52" s="8">
        <v>925.98</v>
      </c>
      <c r="F52" s="9">
        <v>0.61450000000000005</v>
      </c>
      <c r="G52" s="8">
        <v>4436.9799999999996</v>
      </c>
      <c r="H52" s="8">
        <v>4465.8999999999996</v>
      </c>
      <c r="I52" s="8">
        <v>3003.88</v>
      </c>
      <c r="J52" s="9">
        <f t="shared" si="3"/>
        <v>2.9445000000000001</v>
      </c>
      <c r="K52" s="9">
        <f t="shared" si="4"/>
        <v>2.9636999999999998</v>
      </c>
      <c r="L52" s="9">
        <f t="shared" si="5"/>
        <v>1.9934000000000001</v>
      </c>
      <c r="M52" s="9">
        <f>(J52-K52)/K55*100</f>
        <v>-5.5366754282631884E-3</v>
      </c>
      <c r="N52" s="9">
        <f>(J52-L52)/L55*100</f>
        <v>0.29971197902551855</v>
      </c>
    </row>
    <row r="53" spans="1:14" x14ac:dyDescent="0.3">
      <c r="A53" s="6">
        <v>50</v>
      </c>
      <c r="B53" s="7" t="s">
        <v>370</v>
      </c>
      <c r="C53" s="6" t="s">
        <v>79</v>
      </c>
      <c r="D53" s="6" t="s">
        <v>80</v>
      </c>
      <c r="E53" s="8">
        <v>1.2</v>
      </c>
      <c r="F53" s="9">
        <v>6.4500000000000002E-2</v>
      </c>
      <c r="G53" s="8">
        <v>1.79</v>
      </c>
      <c r="H53" s="8">
        <v>1.79</v>
      </c>
      <c r="I53" s="8">
        <v>1.79</v>
      </c>
      <c r="J53" s="9">
        <f t="shared" si="3"/>
        <v>9.6299999999999997E-2</v>
      </c>
      <c r="K53" s="9">
        <f t="shared" si="4"/>
        <v>9.6299999999999997E-2</v>
      </c>
      <c r="L53" s="9">
        <f t="shared" si="5"/>
        <v>9.6299999999999997E-2</v>
      </c>
      <c r="M53" s="9">
        <f>(J53-K53)/K55*100</f>
        <v>0</v>
      </c>
      <c r="N53" s="9">
        <f>(J53-L53)/L55*100</f>
        <v>0</v>
      </c>
    </row>
    <row r="54" spans="1:14" x14ac:dyDescent="0.3">
      <c r="A54" s="6">
        <v>51</v>
      </c>
      <c r="B54" s="7" t="s">
        <v>371</v>
      </c>
      <c r="C54" s="6" t="s">
        <v>81</v>
      </c>
      <c r="D54" s="6" t="s">
        <v>23</v>
      </c>
      <c r="E54" s="8">
        <v>36.15</v>
      </c>
      <c r="F54" s="9">
        <v>0.85289999999999999</v>
      </c>
      <c r="G54" s="8">
        <v>116.37</v>
      </c>
      <c r="H54" s="8">
        <v>116.37</v>
      </c>
      <c r="I54" s="8">
        <v>109.58</v>
      </c>
      <c r="J54" s="9">
        <f t="shared" si="3"/>
        <v>2.7456</v>
      </c>
      <c r="K54" s="9">
        <f t="shared" si="4"/>
        <v>2.7456</v>
      </c>
      <c r="L54" s="9">
        <f t="shared" si="5"/>
        <v>2.5853999999999999</v>
      </c>
      <c r="M54" s="9">
        <f>(J54-K54)/K55*100</f>
        <v>0</v>
      </c>
      <c r="N54" s="9">
        <f>(J54-L54)/L55*100</f>
        <v>5.0482450888327306E-2</v>
      </c>
    </row>
    <row r="55" spans="1:14" x14ac:dyDescent="0.3">
      <c r="A55" s="6"/>
      <c r="B55" s="7"/>
      <c r="C55" s="6"/>
      <c r="D55" s="6"/>
      <c r="E55" s="8"/>
      <c r="F55" s="9">
        <f>SUM(F4:F54)</f>
        <v>100.00000000000001</v>
      </c>
      <c r="G55" s="8"/>
      <c r="H55" s="8"/>
      <c r="I55" s="8"/>
      <c r="J55" s="9">
        <f>SUM(J4:J54)</f>
        <v>349.80420000000004</v>
      </c>
      <c r="K55" s="9">
        <f>SUM(K4:K54)</f>
        <v>346.77850000000001</v>
      </c>
      <c r="L55" s="9">
        <f>SUM(L4:L54)</f>
        <v>317.33800000000002</v>
      </c>
      <c r="M55" s="9">
        <f>SUM(M4:M54)</f>
        <v>0.8725166064216795</v>
      </c>
      <c r="N55" s="9">
        <f>SUM(N4:N54)</f>
        <v>10.230794925284716</v>
      </c>
    </row>
    <row r="56" spans="1:1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3">
      <c r="A57" s="3"/>
      <c r="B57" s="3"/>
      <c r="C57" s="3"/>
      <c r="D57" s="3"/>
      <c r="E57" s="3"/>
      <c r="F57" s="3"/>
      <c r="G57" s="3" t="s">
        <v>372</v>
      </c>
      <c r="H57" s="3"/>
      <c r="I57" s="3"/>
      <c r="J57" s="4">
        <f>J55/K55*100-100</f>
        <v>0.87251660642169782</v>
      </c>
      <c r="K57" s="3"/>
      <c r="L57" s="3"/>
      <c r="M57" s="3"/>
      <c r="N57" s="3"/>
    </row>
    <row r="58" spans="1:14" x14ac:dyDescent="0.3">
      <c r="A58" s="3"/>
      <c r="B58" s="3"/>
      <c r="C58" s="3"/>
      <c r="D58" s="3"/>
      <c r="E58" s="3"/>
      <c r="F58" s="3"/>
      <c r="G58" s="3" t="s">
        <v>373</v>
      </c>
      <c r="H58" s="3"/>
      <c r="I58" s="3"/>
      <c r="J58" s="4">
        <f>J55/L55*100-100</f>
        <v>10.230794925284712</v>
      </c>
      <c r="K58" s="3"/>
      <c r="L58" s="3"/>
      <c r="M58" s="3"/>
      <c r="N58" s="3"/>
    </row>
  </sheetData>
  <mergeCells count="6">
    <mergeCell ref="R3:S3"/>
    <mergeCell ref="A1:N1"/>
    <mergeCell ref="A2:N2"/>
    <mergeCell ref="G3:I3"/>
    <mergeCell ref="J3:L3"/>
    <mergeCell ref="M3:N3"/>
  </mergeCells>
  <pageMargins left="0.4861111111111111" right="0.4861111111111111" top="0.4861111111111111" bottom="0.4861111111111111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EE0C-D3E6-4A10-BCE7-1E306D441DEB}">
  <dimension ref="A1:E53"/>
  <sheetViews>
    <sheetView workbookViewId="0">
      <selection activeCell="K22" sqref="K22"/>
    </sheetView>
  </sheetViews>
  <sheetFormatPr defaultRowHeight="14.4" x14ac:dyDescent="0.3"/>
  <cols>
    <col min="1" max="1" width="28.6640625" customWidth="1"/>
    <col min="3" max="3" width="15.6640625" customWidth="1"/>
    <col min="4" max="4" width="28.6640625" customWidth="1"/>
    <col min="7" max="7" width="25" customWidth="1"/>
  </cols>
  <sheetData>
    <row r="1" spans="1:5" x14ac:dyDescent="0.3">
      <c r="A1" s="92" t="s">
        <v>379</v>
      </c>
      <c r="B1" s="92"/>
      <c r="C1" s="2"/>
      <c r="D1" s="92" t="s">
        <v>381</v>
      </c>
      <c r="E1" s="92"/>
    </row>
    <row r="2" spans="1:5" x14ac:dyDescent="0.3">
      <c r="A2" s="13" t="s">
        <v>103</v>
      </c>
      <c r="B2" s="13" t="s">
        <v>380</v>
      </c>
      <c r="C2" s="2"/>
      <c r="D2" s="13" t="s">
        <v>103</v>
      </c>
      <c r="E2" s="13" t="s">
        <v>380</v>
      </c>
    </row>
    <row r="3" spans="1:5" x14ac:dyDescent="0.3">
      <c r="A3" s="14" t="str">
        <f>'Appendix-A'!B129</f>
        <v>Chicken Farm Broiler (Live)</v>
      </c>
      <c r="B3" s="15">
        <f>'Appendix-A'!R129</f>
        <v>-4.66</v>
      </c>
      <c r="D3" s="14" t="str">
        <f>'Appendix-A'!B143</f>
        <v>Potatoes</v>
      </c>
      <c r="E3" s="15">
        <f>'Appendix-A'!S143</f>
        <v>-32.69</v>
      </c>
    </row>
    <row r="4" spans="1:5" x14ac:dyDescent="0.3">
      <c r="A4" s="14" t="str">
        <f>'Appendix-A'!B138</f>
        <v>Bananas (Kela) Local</v>
      </c>
      <c r="B4" s="15">
        <f>'Appendix-A'!R138</f>
        <v>-1.72</v>
      </c>
      <c r="D4" s="14" t="str">
        <f>'Appendix-A'!B142</f>
        <v>Pulse Gram</v>
      </c>
      <c r="E4" s="15">
        <f>'Appendix-A'!S142</f>
        <v>-21.48</v>
      </c>
    </row>
    <row r="5" spans="1:5" x14ac:dyDescent="0.3">
      <c r="A5" s="14" t="str">
        <f>'Appendix-A'!B140</f>
        <v>Pulse Moong (Washed)</v>
      </c>
      <c r="B5" s="15">
        <f>'Appendix-A'!R140</f>
        <v>-1.08</v>
      </c>
      <c r="D5" s="14" t="str">
        <f>'Appendix-A'!B146</f>
        <v>Sugar Refined</v>
      </c>
      <c r="E5" s="15">
        <f>'Appendix-A'!S146</f>
        <v>-17.670000000000002</v>
      </c>
    </row>
    <row r="6" spans="1:5" x14ac:dyDescent="0.3">
      <c r="A6" s="14" t="str">
        <f>'Appendix-A'!B141</f>
        <v>Pulse Mash (Washed)</v>
      </c>
      <c r="B6" s="15">
        <f>'Appendix-A'!R141</f>
        <v>-1.07</v>
      </c>
      <c r="D6" s="14" t="str">
        <f>'Appendix-A'!B148</f>
        <v>Salt Powdered (NATIONAL/SHAN) 800 gm Packet</v>
      </c>
      <c r="E6" s="15">
        <f>'Appendix-A'!S148</f>
        <v>-14.09</v>
      </c>
    </row>
    <row r="7" spans="1:5" x14ac:dyDescent="0.3">
      <c r="A7" s="14" t="str">
        <f>'Appendix-A'!B125</f>
        <v>Rice IRRI-6/9 (Sindh/Punjab)</v>
      </c>
      <c r="B7" s="15">
        <f>'Appendix-A'!R125</f>
        <v>-0.52</v>
      </c>
      <c r="D7" s="14" t="str">
        <f>'Appendix-A'!B129</f>
        <v>Chicken Farm Broiler (Live)</v>
      </c>
      <c r="E7" s="15">
        <f>'Appendix-A'!S129</f>
        <v>-13.73</v>
      </c>
    </row>
    <row r="8" spans="1:5" x14ac:dyDescent="0.3">
      <c r="A8" s="14" t="str">
        <f>'Appendix-A'!B139</f>
        <v>Pulse Masoor (Washed)</v>
      </c>
      <c r="B8" s="15">
        <f>'Appendix-A'!R139</f>
        <v>-0.4</v>
      </c>
      <c r="D8" s="14" t="str">
        <f>'Appendix-A'!B139</f>
        <v>Pulse Masoor (Washed)</v>
      </c>
      <c r="E8" s="15">
        <f>'Appendix-A'!S139</f>
        <v>-13.55</v>
      </c>
    </row>
    <row r="9" spans="1:5" x14ac:dyDescent="0.3">
      <c r="A9" s="14" t="str">
        <f>'Appendix-A'!B146</f>
        <v>Sugar Refined</v>
      </c>
      <c r="B9" s="15">
        <f>'Appendix-A'!R146</f>
        <v>-0.09</v>
      </c>
      <c r="D9" s="14" t="str">
        <f>'Appendix-A'!B133</f>
        <v>Eggs Hen (Farm)</v>
      </c>
      <c r="E9" s="15">
        <f>'Appendix-A'!S133</f>
        <v>-9.59</v>
      </c>
    </row>
    <row r="10" spans="1:5" x14ac:dyDescent="0.3">
      <c r="A10" s="14" t="str">
        <f>'Appendix-A'!B142</f>
        <v>Pulse Gram</v>
      </c>
      <c r="B10" s="15">
        <f>'Appendix-A'!R142</f>
        <v>-0.03</v>
      </c>
      <c r="D10" s="14" t="str">
        <f>'Appendix-A'!B140</f>
        <v>Pulse Moong (Washed)</v>
      </c>
      <c r="E10" s="15">
        <f>'Appendix-A'!S140</f>
        <v>-8.67</v>
      </c>
    </row>
    <row r="11" spans="1:5" x14ac:dyDescent="0.3">
      <c r="A11" s="14">
        <f>'Appendix-A'!B122</f>
        <v>0</v>
      </c>
      <c r="B11" s="15">
        <f>'Appendix-A'!R122</f>
        <v>0</v>
      </c>
      <c r="D11" s="14" t="str">
        <f>'Appendix-A'!B147</f>
        <v>Gur (Average Quality)</v>
      </c>
      <c r="E11" s="15">
        <f>'Appendix-A'!S147</f>
        <v>-4.6100000000000003</v>
      </c>
    </row>
    <row r="12" spans="1:5" x14ac:dyDescent="0.3">
      <c r="A12" s="14" t="str">
        <f>'Appendix-A'!B124</f>
        <v>Rice Basmati Broken (Average Quality)</v>
      </c>
      <c r="B12" s="15">
        <f>'Appendix-A'!R124</f>
        <v>0</v>
      </c>
      <c r="D12" s="14" t="str">
        <f>'Appendix-A'!B150</f>
        <v>Garlic (Lehsun)</v>
      </c>
      <c r="E12" s="15">
        <f>'Appendix-A'!S150</f>
        <v>-1.83</v>
      </c>
    </row>
    <row r="13" spans="1:5" x14ac:dyDescent="0.3">
      <c r="A13" s="14" t="str">
        <f>'Appendix-A'!B126</f>
        <v>Bread plain (Small Size)</v>
      </c>
      <c r="B13" s="15">
        <f>'Appendix-A'!R126</f>
        <v>0</v>
      </c>
      <c r="D13" s="14" t="str">
        <f>'Appendix-A'!B141</f>
        <v>Pulse Mash (Washed)</v>
      </c>
      <c r="E13" s="15">
        <f>'Appendix-A'!S141</f>
        <v>-1.23</v>
      </c>
    </row>
    <row r="14" spans="1:5" x14ac:dyDescent="0.3">
      <c r="A14" s="14" t="str">
        <f>'Appendix-A'!B127</f>
        <v>Beef with Bone (Average Quality)</v>
      </c>
      <c r="B14" s="15">
        <f>'Appendix-A'!R127</f>
        <v>0</v>
      </c>
      <c r="D14" s="14">
        <f>'Appendix-A'!B122</f>
        <v>0</v>
      </c>
      <c r="E14" s="15">
        <f>'Appendix-A'!S122</f>
        <v>0</v>
      </c>
    </row>
    <row r="15" spans="1:5" x14ac:dyDescent="0.3">
      <c r="A15" s="14" t="str">
        <f>'Appendix-A'!B128</f>
        <v>Mutton (Average Quality)</v>
      </c>
      <c r="B15" s="15">
        <f>'Appendix-A'!R128</f>
        <v>0</v>
      </c>
      <c r="D15" s="14" t="str">
        <f>'Appendix-A'!B160</f>
        <v>Gents Sandal Bata</v>
      </c>
      <c r="E15" s="15">
        <f>'Appendix-A'!S160</f>
        <v>0</v>
      </c>
    </row>
    <row r="16" spans="1:5" x14ac:dyDescent="0.3">
      <c r="A16" s="14" t="str">
        <f>'Appendix-A'!B148</f>
        <v>Salt Powdered (NATIONAL/SHAN) 800 gm Packet</v>
      </c>
      <c r="B16" s="15">
        <f>'Appendix-A'!R148</f>
        <v>0</v>
      </c>
      <c r="D16" s="14" t="str">
        <f>'Appendix-A'!B164</f>
        <v>Gas Charges for Q1</v>
      </c>
      <c r="E16" s="15">
        <f>'Appendix-A'!S164</f>
        <v>0</v>
      </c>
    </row>
    <row r="17" spans="1:5" x14ac:dyDescent="0.3">
      <c r="A17" s="14" t="str">
        <f>'Appendix-A'!B149</f>
        <v>Chilies Powder NATIONAL 200 gm Packet</v>
      </c>
      <c r="B17" s="15">
        <f>'Appendix-A'!R149</f>
        <v>0</v>
      </c>
      <c r="D17" s="14" t="str">
        <f>'Appendix-A'!B125</f>
        <v>Rice IRRI-6/9 (Sindh/Punjab)</v>
      </c>
      <c r="E17" s="15">
        <f>'Appendix-A'!S125</f>
        <v>0.1</v>
      </c>
    </row>
    <row r="18" spans="1:5" x14ac:dyDescent="0.3">
      <c r="A18" s="14" t="str">
        <f>'Appendix-A'!B155</f>
        <v>Cigarettes Capstan 20'S Packet</v>
      </c>
      <c r="B18" s="15">
        <f>'Appendix-A'!R155</f>
        <v>0</v>
      </c>
      <c r="D18" s="14" t="str">
        <f>'Appendix-A'!B168</f>
        <v>Match Box</v>
      </c>
      <c r="E18" s="15">
        <f>'Appendix-A'!S168</f>
        <v>1.1200000000000001</v>
      </c>
    </row>
    <row r="19" spans="1:5" x14ac:dyDescent="0.3">
      <c r="A19" s="14" t="str">
        <f>'Appendix-A'!B156</f>
        <v>Long Cloth 57" Gul Ahmed/Al Karam</v>
      </c>
      <c r="B19" s="15">
        <f>'Appendix-A'!R156</f>
        <v>0</v>
      </c>
      <c r="D19" s="14" t="str">
        <f>'Appendix-A'!B151</f>
        <v>Tea Lipton Yellow Label 190 gm Packet</v>
      </c>
      <c r="E19" s="15">
        <f>'Appendix-A'!S151</f>
        <v>2.15</v>
      </c>
    </row>
    <row r="20" spans="1:5" x14ac:dyDescent="0.3">
      <c r="A20" s="14" t="str">
        <f>'Appendix-A'!B157</f>
        <v>Shirting (Average Quality)</v>
      </c>
      <c r="B20" s="15">
        <f>'Appendix-A'!R157</f>
        <v>0</v>
      </c>
      <c r="D20" s="14" t="str">
        <f>'Appendix-A'!B158</f>
        <v>Lawn Printed Gul Ahmed/Al Karam</v>
      </c>
      <c r="E20" s="15">
        <f>'Appendix-A'!S158</f>
        <v>3.71</v>
      </c>
    </row>
    <row r="21" spans="1:5" x14ac:dyDescent="0.3">
      <c r="A21" s="14" t="str">
        <f>'Appendix-A'!B158</f>
        <v>Lawn Printed Gul Ahmed/Al Karam</v>
      </c>
      <c r="B21" s="15">
        <f>'Appendix-A'!R158</f>
        <v>0</v>
      </c>
      <c r="D21" s="14" t="str">
        <f>'Appendix-A'!B155</f>
        <v>Cigarettes Capstan 20'S Packet</v>
      </c>
      <c r="E21" s="15">
        <f>'Appendix-A'!S155</f>
        <v>3.98</v>
      </c>
    </row>
    <row r="22" spans="1:5" x14ac:dyDescent="0.3">
      <c r="A22" s="14" t="str">
        <f>'Appendix-A'!B159</f>
        <v>Georgette (Average Quality)</v>
      </c>
      <c r="B22" s="15">
        <f>'Appendix-A'!R159</f>
        <v>0</v>
      </c>
      <c r="D22" s="14" t="str">
        <f>'Appendix-A'!B166</f>
        <v>Energy Saver Philips 14 Watt</v>
      </c>
      <c r="E22" s="15">
        <f>'Appendix-A'!S166</f>
        <v>4.2699999999999996</v>
      </c>
    </row>
    <row r="23" spans="1:5" x14ac:dyDescent="0.3">
      <c r="A23" s="14" t="str">
        <f>'Appendix-A'!B160</f>
        <v>Gents Sandal Bata</v>
      </c>
      <c r="B23" s="15">
        <f>'Appendix-A'!R160</f>
        <v>0</v>
      </c>
      <c r="D23" s="14" t="str">
        <f>'Appendix-A'!B152</f>
        <v>Cooked Beef at Average Hotel</v>
      </c>
      <c r="E23" s="15">
        <f>'Appendix-A'!S152</f>
        <v>4.78</v>
      </c>
    </row>
    <row r="24" spans="1:5" x14ac:dyDescent="0.3">
      <c r="A24" s="14" t="str">
        <f>'Appendix-A'!B161</f>
        <v>Gents Sponge Chappal Bata</v>
      </c>
      <c r="B24" s="15">
        <f>'Appendix-A'!R161</f>
        <v>0</v>
      </c>
      <c r="D24" s="14" t="str">
        <f>'Appendix-A'!B124</f>
        <v>Rice Basmati Broken (Average Quality)</v>
      </c>
      <c r="E24" s="15">
        <f>'Appendix-A'!S124</f>
        <v>4.8099999999999996</v>
      </c>
    </row>
    <row r="25" spans="1:5" x14ac:dyDescent="0.3">
      <c r="A25" s="14" t="str">
        <f>'Appendix-A'!B162</f>
        <v>Ladies Sandal Bata</v>
      </c>
      <c r="B25" s="15">
        <f>'Appendix-A'!R162</f>
        <v>0</v>
      </c>
      <c r="D25" s="14" t="str">
        <f>'Appendix-A'!B134</f>
        <v>Mustard Oil (Average Quality)</v>
      </c>
      <c r="E25" s="15">
        <f>'Appendix-A'!S134</f>
        <v>4.82</v>
      </c>
    </row>
    <row r="26" spans="1:5" x14ac:dyDescent="0.3">
      <c r="A26" s="14" t="str">
        <f>'Appendix-A'!B163</f>
        <v>Electricity Charges for Q1*</v>
      </c>
      <c r="B26" s="15">
        <f>'Appendix-A'!R163</f>
        <v>0</v>
      </c>
      <c r="D26" s="14" t="str">
        <f>'Appendix-A'!B156</f>
        <v>Long Cloth 57" Gul Ahmed/Al Karam</v>
      </c>
      <c r="E26" s="15">
        <f>'Appendix-A'!S156</f>
        <v>4.84</v>
      </c>
    </row>
    <row r="27" spans="1:5" x14ac:dyDescent="0.3">
      <c r="A27" s="14" t="str">
        <f>'Appendix-A'!B164</f>
        <v>Gas Charges for Q1</v>
      </c>
      <c r="B27" s="15">
        <f>'Appendix-A'!R164</f>
        <v>0</v>
      </c>
      <c r="D27" s="14" t="str">
        <f>'Appendix-A'!B153</f>
        <v>Cooked Daal at Average Hotel</v>
      </c>
      <c r="E27" s="15">
        <f>'Appendix-A'!S153</f>
        <v>4.97</v>
      </c>
    </row>
    <row r="28" spans="1:5" x14ac:dyDescent="0.3">
      <c r="A28" s="14" t="str">
        <f>'Appendix-A'!B165</f>
        <v>Firewood Whole</v>
      </c>
      <c r="B28" s="15">
        <f>'Appendix-A'!R165</f>
        <v>0</v>
      </c>
      <c r="D28" s="14" t="str">
        <f>'Appendix-A'!B159</f>
        <v>Georgette (Average Quality)</v>
      </c>
      <c r="E28" s="15">
        <f>'Appendix-A'!S159</f>
        <v>5.35</v>
      </c>
    </row>
    <row r="29" spans="1:5" x14ac:dyDescent="0.3">
      <c r="A29" s="14" t="str">
        <f>'Appendix-A'!B166</f>
        <v>Energy Saver Philips 14 Watt</v>
      </c>
      <c r="B29" s="15">
        <f>'Appendix-A'!R166</f>
        <v>0</v>
      </c>
      <c r="D29" s="14" t="str">
        <f>'Appendix-A'!B136</f>
        <v>Vegetable Ghee DALDA/HABIB 2.5 kg Tin</v>
      </c>
      <c r="E29" s="15">
        <f>'Appendix-A'!S136</f>
        <v>6.03</v>
      </c>
    </row>
    <row r="30" spans="1:5" x14ac:dyDescent="0.3">
      <c r="A30" s="14" t="str">
        <f>'Appendix-A'!B168</f>
        <v>Match Box</v>
      </c>
      <c r="B30" s="15">
        <f>'Appendix-A'!R168</f>
        <v>0</v>
      </c>
      <c r="D30" s="14" t="str">
        <f>'Appendix-A'!B154</f>
        <v>Tea Prepared Ordinary</v>
      </c>
      <c r="E30" s="15">
        <f>'Appendix-A'!S154</f>
        <v>6.45</v>
      </c>
    </row>
    <row r="31" spans="1:5" x14ac:dyDescent="0.3">
      <c r="A31" s="14" t="str">
        <f>'Appendix-A'!B147</f>
        <v>Gur (Average Quality)</v>
      </c>
      <c r="B31" s="15">
        <f>'Appendix-A'!R147</f>
        <v>0.04</v>
      </c>
      <c r="D31" s="14" t="str">
        <f>'Appendix-A'!B132</f>
        <v>Powdered Milk NIDO 390 gm Polybag</v>
      </c>
      <c r="E31" s="15">
        <f>'Appendix-A'!S132</f>
        <v>6.67</v>
      </c>
    </row>
    <row r="32" spans="1:5" x14ac:dyDescent="0.3">
      <c r="A32" s="14" t="str">
        <f>'Appendix-A'!B135</f>
        <v>Cooking Oil DALDA or Other Similar Brand (SN), 5 Litre Tin</v>
      </c>
      <c r="B32" s="15">
        <f>'Appendix-A'!R135</f>
        <v>0.05</v>
      </c>
      <c r="D32" s="14" t="str">
        <f>'Appendix-A'!B135</f>
        <v>Cooking Oil DALDA or Other Similar Brand (SN), 5 Litre Tin</v>
      </c>
      <c r="E32" s="15">
        <f>'Appendix-A'!S135</f>
        <v>6.8</v>
      </c>
    </row>
    <row r="33" spans="1:5" x14ac:dyDescent="0.3">
      <c r="A33" s="14" t="str">
        <f>'Appendix-A'!B144</f>
        <v>Onions</v>
      </c>
      <c r="B33" s="15">
        <f>'Appendix-A'!R144</f>
        <v>0.05</v>
      </c>
      <c r="D33" s="14" t="str">
        <f>'Appendix-A'!B137</f>
        <v>Vegetable Ghee DALDA/HABIB or Other superior Quality 1 kg Pouch</v>
      </c>
      <c r="E33" s="15">
        <f>'Appendix-A'!S137</f>
        <v>6.84</v>
      </c>
    </row>
    <row r="34" spans="1:5" x14ac:dyDescent="0.3">
      <c r="A34" s="14" t="str">
        <f>'Appendix-A'!B132</f>
        <v>Powdered Milk NIDO 390 gm Polybag</v>
      </c>
      <c r="B34" s="15">
        <f>'Appendix-A'!R132</f>
        <v>0.06</v>
      </c>
      <c r="D34" s="14" t="str">
        <f>'Appendix-A'!B162</f>
        <v>Ladies Sandal Bata</v>
      </c>
      <c r="E34" s="15">
        <f>'Appendix-A'!S162</f>
        <v>7.15</v>
      </c>
    </row>
    <row r="35" spans="1:5" x14ac:dyDescent="0.3">
      <c r="A35" s="14" t="str">
        <f>'Appendix-A'!B154</f>
        <v>Tea Prepared Ordinary</v>
      </c>
      <c r="B35" s="15">
        <f>'Appendix-A'!R154</f>
        <v>0.06</v>
      </c>
      <c r="D35" s="14" t="str">
        <f>'Appendix-A'!B131</f>
        <v>Curd (Dahi) Loose</v>
      </c>
      <c r="E35" s="15">
        <f>'Appendix-A'!S131</f>
        <v>7.16</v>
      </c>
    </row>
    <row r="36" spans="1:5" x14ac:dyDescent="0.3">
      <c r="A36" s="14" t="str">
        <f>'Appendix-A'!B130</f>
        <v>Milk fresh (Un-boiled)</v>
      </c>
      <c r="B36" s="15">
        <f>'Appendix-A'!R130</f>
        <v>0.09</v>
      </c>
      <c r="D36" s="14" t="str">
        <f>'Appendix-A'!B167</f>
        <v>Sufi Washing Soap 250 gm Cake</v>
      </c>
      <c r="E36" s="15">
        <f>'Appendix-A'!S167</f>
        <v>7.51</v>
      </c>
    </row>
    <row r="37" spans="1:5" x14ac:dyDescent="0.3">
      <c r="A37" s="14" t="str">
        <f>'Appendix-A'!B131</f>
        <v>Curd (Dahi) Loose</v>
      </c>
      <c r="B37" s="15">
        <f>'Appendix-A'!R131</f>
        <v>0.09</v>
      </c>
      <c r="D37" s="14" t="str">
        <f>'Appendix-A'!B130</f>
        <v>Milk fresh (Un-boiled)</v>
      </c>
      <c r="E37" s="15">
        <f>'Appendix-A'!S130</f>
        <v>7.93</v>
      </c>
    </row>
    <row r="38" spans="1:5" x14ac:dyDescent="0.3">
      <c r="A38" s="14" t="str">
        <f>'Appendix-A'!B136</f>
        <v>Vegetable Ghee DALDA/HABIB 2.5 kg Tin</v>
      </c>
      <c r="B38" s="15">
        <f>'Appendix-A'!R136</f>
        <v>0.11</v>
      </c>
      <c r="D38" s="14" t="str">
        <f>'Appendix-A'!B157</f>
        <v>Shirting (Average Quality)</v>
      </c>
      <c r="E38" s="15">
        <f>'Appendix-A'!S157</f>
        <v>9.0299999999999994</v>
      </c>
    </row>
    <row r="39" spans="1:5" x14ac:dyDescent="0.3">
      <c r="A39" s="14" t="str">
        <f>'Appendix-A'!B123</f>
        <v>Wheat Flour Bag</v>
      </c>
      <c r="B39" s="15">
        <f>'Appendix-A'!R123</f>
        <v>0.14000000000000001</v>
      </c>
      <c r="D39" s="14" t="str">
        <f>'Appendix-A'!B126</f>
        <v>Bread plain (Small Size)</v>
      </c>
      <c r="E39" s="15">
        <f>'Appendix-A'!S126</f>
        <v>9.69</v>
      </c>
    </row>
    <row r="40" spans="1:5" x14ac:dyDescent="0.3">
      <c r="A40" s="14" t="str">
        <f>'Appendix-A'!B167</f>
        <v>Sufi Washing Soap 250 gm Cake</v>
      </c>
      <c r="B40" s="15">
        <f>'Appendix-A'!R167</f>
        <v>0.21</v>
      </c>
      <c r="D40" s="14" t="str">
        <f>'Appendix-A'!B138</f>
        <v>Bananas (Kela) Local</v>
      </c>
      <c r="E40" s="15">
        <f>'Appendix-A'!S138</f>
        <v>12.06</v>
      </c>
    </row>
    <row r="41" spans="1:5" x14ac:dyDescent="0.3">
      <c r="A41" s="14" t="str">
        <f>'Appendix-A'!B137</f>
        <v>Vegetable Ghee DALDA/HABIB or Other superior Quality 1 kg Pouch</v>
      </c>
      <c r="B41" s="15">
        <f>'Appendix-A'!R137</f>
        <v>0.28000000000000003</v>
      </c>
      <c r="D41" s="14" t="str">
        <f>'Appendix-A'!B165</f>
        <v>Firewood Whole</v>
      </c>
      <c r="E41" s="15">
        <f>'Appendix-A'!S165</f>
        <v>12.85</v>
      </c>
    </row>
    <row r="42" spans="1:5" x14ac:dyDescent="0.3">
      <c r="A42" s="14" t="str">
        <f>'Appendix-A'!B152</f>
        <v>Cooked Beef at Average Hotel</v>
      </c>
      <c r="B42" s="15">
        <f>'Appendix-A'!R152</f>
        <v>0.36</v>
      </c>
      <c r="D42" s="14" t="str">
        <f>'Appendix-A'!B127</f>
        <v>Beef with Bone (Average Quality)</v>
      </c>
      <c r="E42" s="15">
        <f>'Appendix-A'!S127</f>
        <v>13.09</v>
      </c>
    </row>
    <row r="43" spans="1:5" x14ac:dyDescent="0.3">
      <c r="A43" s="14" t="str">
        <f>'Appendix-A'!B150</f>
        <v>Garlic (Lehsun)</v>
      </c>
      <c r="B43" s="15">
        <f>'Appendix-A'!R150</f>
        <v>0.41</v>
      </c>
      <c r="D43" s="14" t="str">
        <f>'Appendix-A'!B149</f>
        <v>Chilies Powder NATIONAL 200 gm Packet</v>
      </c>
      <c r="E43" s="15">
        <f>'Appendix-A'!S149</f>
        <v>15.2</v>
      </c>
    </row>
    <row r="44" spans="1:5" x14ac:dyDescent="0.3">
      <c r="A44" s="14" t="str">
        <f>'Appendix-A'!B134</f>
        <v>Mustard Oil (Average Quality)</v>
      </c>
      <c r="B44" s="15">
        <f>'Appendix-A'!R134</f>
        <v>0.45</v>
      </c>
      <c r="D44" s="14" t="str">
        <f>'Appendix-A'!B128</f>
        <v>Mutton (Average Quality)</v>
      </c>
      <c r="E44" s="15">
        <f>'Appendix-A'!S128</f>
        <v>16.02</v>
      </c>
    </row>
    <row r="45" spans="1:5" x14ac:dyDescent="0.3">
      <c r="A45" s="14" t="str">
        <f>'Appendix-A'!B151</f>
        <v>Tea Lipton Yellow Label 190 gm Packet</v>
      </c>
      <c r="B45" s="15">
        <f>'Appendix-A'!R151</f>
        <v>0.59</v>
      </c>
      <c r="D45" s="14" t="str">
        <f>'Appendix-A'!B161</f>
        <v>Gents Sponge Chappal Bata</v>
      </c>
      <c r="E45" s="15">
        <f>'Appendix-A'!S161</f>
        <v>16.690000000000001</v>
      </c>
    </row>
    <row r="46" spans="1:5" x14ac:dyDescent="0.3">
      <c r="A46" s="14" t="str">
        <f>'Appendix-A'!B153</f>
        <v>Cooked Daal at Average Hotel</v>
      </c>
      <c r="B46" s="15">
        <f>'Appendix-A'!R153</f>
        <v>0.72</v>
      </c>
      <c r="D46" s="14" t="str">
        <f>'Appendix-A'!B169</f>
        <v>Petrol Super</v>
      </c>
      <c r="E46" s="15">
        <f>'Appendix-A'!S169</f>
        <v>20.32</v>
      </c>
    </row>
    <row r="47" spans="1:5" x14ac:dyDescent="0.3">
      <c r="A47" s="14" t="str">
        <f>'Appendix-A'!B171</f>
        <v>LPG 11.67 kg Cylinder</v>
      </c>
      <c r="B47" s="15">
        <f>'Appendix-A'!R171</f>
        <v>0.91</v>
      </c>
      <c r="D47" s="14" t="str">
        <f>'Appendix-A'!B163</f>
        <v>Electricity Charges for Q1*</v>
      </c>
      <c r="E47" s="15">
        <f>'Appendix-A'!S163</f>
        <v>22.79</v>
      </c>
    </row>
    <row r="48" spans="1:5" x14ac:dyDescent="0.3">
      <c r="A48" s="14" t="str">
        <f>'Appendix-A'!B143</f>
        <v>Potatoes</v>
      </c>
      <c r="B48" s="15">
        <f>'Appendix-A'!R143</f>
        <v>3.7</v>
      </c>
      <c r="D48" s="14" t="str">
        <f>'Appendix-A'!B170</f>
        <v>Hi-Speed Diesel</v>
      </c>
      <c r="E48" s="15">
        <f>'Appendix-A'!S170</f>
        <v>31.92</v>
      </c>
    </row>
    <row r="49" spans="1:5" x14ac:dyDescent="0.3">
      <c r="A49" s="14" t="str">
        <f>'Appendix-A'!B169</f>
        <v>Petrol Super</v>
      </c>
      <c r="B49" s="15">
        <f>'Appendix-A'!R169</f>
        <v>5.23</v>
      </c>
      <c r="D49" s="14" t="str">
        <f>'Appendix-A'!B171</f>
        <v>LPG 11.67 kg Cylinder</v>
      </c>
      <c r="E49" s="15">
        <f>'Appendix-A'!S171</f>
        <v>46.87</v>
      </c>
    </row>
    <row r="50" spans="1:5" x14ac:dyDescent="0.3">
      <c r="A50" s="14" t="str">
        <f>'Appendix-A'!B133</f>
        <v>Eggs Hen (Farm)</v>
      </c>
      <c r="B50" s="15">
        <f>'Appendix-A'!R133</f>
        <v>7.31</v>
      </c>
      <c r="D50" s="14">
        <f>'Appendix-A'!B121</f>
        <v>2</v>
      </c>
      <c r="E50" s="15">
        <f>'Appendix-A'!S121</f>
        <v>62</v>
      </c>
    </row>
    <row r="51" spans="1:5" x14ac:dyDescent="0.3">
      <c r="A51" s="14" t="str">
        <f>'Appendix-A'!B170</f>
        <v>Hi-Speed Diesel</v>
      </c>
      <c r="B51" s="15">
        <f>'Appendix-A'!R170</f>
        <v>15.87</v>
      </c>
      <c r="D51" s="14" t="str">
        <f>'Appendix-A'!B123</f>
        <v>Wheat Flour Bag</v>
      </c>
      <c r="E51" s="15">
        <f>'Appendix-A'!S123</f>
        <v>74.13</v>
      </c>
    </row>
    <row r="52" spans="1:5" x14ac:dyDescent="0.3">
      <c r="A52" s="14" t="str">
        <f>'Appendix-A'!B145</f>
        <v>Tomatoes</v>
      </c>
      <c r="B52" s="15">
        <f>'Appendix-A'!R145</f>
        <v>39.92</v>
      </c>
      <c r="D52" s="14" t="str">
        <f>'Appendix-A'!B144</f>
        <v>Onions</v>
      </c>
      <c r="E52" s="15">
        <f>'Appendix-A'!S144</f>
        <v>81.55</v>
      </c>
    </row>
    <row r="53" spans="1:5" x14ac:dyDescent="0.3">
      <c r="A53" s="14">
        <f>'Appendix-A'!B121</f>
        <v>2</v>
      </c>
      <c r="B53" s="15">
        <f>'Appendix-A'!R121</f>
        <v>61</v>
      </c>
      <c r="D53" s="14" t="str">
        <f>'Appendix-A'!B145</f>
        <v>Tomatoes</v>
      </c>
      <c r="E53" s="15">
        <f>'Appendix-A'!S145</f>
        <v>253.04</v>
      </c>
    </row>
  </sheetData>
  <sortState xmlns:xlrd2="http://schemas.microsoft.com/office/spreadsheetml/2017/richdata2" ref="G17:H44">
    <sortCondition descending="1" ref="H17:H44"/>
  </sortState>
  <mergeCells count="2">
    <mergeCell ref="A1:B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2BDA-06E2-4612-8CED-E4670A274AD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Appendix-A</vt:lpstr>
      <vt:lpstr>CuPrCrPrices</vt:lpstr>
      <vt:lpstr>Appendix-B</vt:lpstr>
      <vt:lpstr>Annexure-V</vt:lpstr>
      <vt:lpstr>Page 1</vt:lpstr>
      <vt:lpstr>Page 2</vt:lpstr>
      <vt:lpstr>MinMaxCities</vt:lpstr>
      <vt:lpstr>Impact Combined</vt:lpstr>
      <vt:lpstr>Impact Lowest</vt:lpstr>
      <vt:lpstr>Sorted - MoM and YoY</vt:lpstr>
      <vt:lpstr>Sheet1</vt:lpstr>
      <vt:lpstr>'Appendix-B'!Print_Area</vt:lpstr>
      <vt:lpstr>'Impact Combined'!Print_Titles</vt:lpstr>
      <vt:lpstr>'Impact Lowest'!Print_Titles</vt:lpstr>
      <vt:lpstr>MinMaxCities!Print_Titles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Ali (Statistical Officer)</dc:creator>
  <cp:lastModifiedBy>manahil ..</cp:lastModifiedBy>
  <dcterms:created xsi:type="dcterms:W3CDTF">2026-07-23T11:45:31Z</dcterms:created>
  <dcterms:modified xsi:type="dcterms:W3CDTF">2026-08-10T04:27:25Z</dcterms:modified>
</cp:coreProperties>
</file>